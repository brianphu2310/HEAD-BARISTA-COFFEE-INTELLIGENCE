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☕ Dataset" sheetId="1" state="visible" r:id="rId3"/>
    <sheet name="📊 Pivot Table" sheetId="2" state="visible" r:id="rId4"/>
    <sheet name="🔍 VLOOKUP Tool" sheetId="3" state="visible" r:id="rId5"/>
    <sheet name="⭐ Skill Ratings" sheetId="4" state="visible" r:id="rId6"/>
    <sheet name="🎯 Brew Selecto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<sst xmlns="http://schemas.openxmlformats.org/spreadsheetml/2006/main" count="209" uniqueCount="124">
  <si>
    <t xml:space="preserve">☕  COFFEE BREWING METHODS — COMPLETE GUIDE</t>
  </si>
  <si>
    <t xml:space="preserve">13 methods ranked by brew time  ·  Data for educational &amp; analytical use</t>
  </si>
  <si>
    <t xml:space="preserve">Method</t>
  </si>
  <si>
    <t xml:space="preserve">Brew Time (min)</t>
  </si>
  <si>
    <t xml:space="preserve">Caffeine (mg)</t>
  </si>
  <si>
    <t xml:space="preserve">Antioxidant Rank (1-5)</t>
  </si>
  <si>
    <t xml:space="preserve">Acidity (1-10)</t>
  </si>
  <si>
    <t xml:space="preserve">Bitterness (1-10)</t>
  </si>
  <si>
    <t xml:space="preserve">Body (1-10)</t>
  </si>
  <si>
    <t xml:space="preserve">Complexity</t>
  </si>
  <si>
    <t xml:space="preserve">Recommended Equipment</t>
  </si>
  <si>
    <t xml:space="preserve">Quick Brewing Guide</t>
  </si>
  <si>
    <t xml:space="preserve">Primary Taste</t>
  </si>
  <si>
    <t xml:space="preserve">Caffeine Level</t>
  </si>
  <si>
    <t xml:space="preserve">Sleep Impact</t>
  </si>
  <si>
    <t xml:space="preserve">Score Index</t>
  </si>
  <si>
    <t xml:space="preserve">Ristretto</t>
  </si>
  <si>
    <t xml:space="preserve">High</t>
  </si>
  <si>
    <t xml:space="preserve">Espresso Machine</t>
  </si>
  <si>
    <t xml:space="preserve">Grind extra-fine → extract 20-25 sec → collect only first 25ml</t>
  </si>
  <si>
    <t xml:space="preserve">Sweet, Caramel, Fruity</t>
  </si>
  <si>
    <t xml:space="preserve">Espresso</t>
  </si>
  <si>
    <t xml:space="preserve">Grind fine → tamp 15kg → extract 25-30 sec → 36ml yield</t>
  </si>
  <si>
    <t xml:space="preserve">Balanced, Chocolate, Nutty</t>
  </si>
  <si>
    <t xml:space="preserve">Lungo</t>
  </si>
  <si>
    <t xml:space="preserve">Grind fine → extract longer 35-45 sec → 110ml yield</t>
  </si>
  <si>
    <t xml:space="preserve">Bitter, Woody, Spicy</t>
  </si>
  <si>
    <t xml:space="preserve">AeroPress</t>
  </si>
  <si>
    <t xml:space="preserve">Low</t>
  </si>
  <si>
    <t xml:space="preserve">Medium grind → water 85°C → steep 1-2 min → press gently 20-30 sec</t>
  </si>
  <si>
    <t xml:space="preserve">Clean, Balanced, Sweet</t>
  </si>
  <si>
    <t xml:space="preserve">Siphon</t>
  </si>
  <si>
    <t xml:space="preserve">Siphon Brewer</t>
  </si>
  <si>
    <t xml:space="preserve">Heat water to rise → stir 50 sec → remove heat to draw down</t>
  </si>
  <si>
    <t xml:space="preserve">Aromatic, Complex, Floral</t>
  </si>
  <si>
    <t xml:space="preserve">Turkish</t>
  </si>
  <si>
    <t xml:space="preserve">Ibrik (Cezve)</t>
  </si>
  <si>
    <t xml:space="preserve">Powder-fine grind → heat 2-3 times until foaming → do not stir</t>
  </si>
  <si>
    <t xml:space="preserve">Strong, Thick, Spicy, Earthy</t>
  </si>
  <si>
    <t xml:space="preserve">Moka Pot</t>
  </si>
  <si>
    <t xml:space="preserve">Medium</t>
  </si>
  <si>
    <t xml:space="preserve">Medium-fine grind → medium heat → remove when hissing sound begins</t>
  </si>
  <si>
    <t xml:space="preserve">Rich, Chocolatey</t>
  </si>
  <si>
    <t xml:space="preserve">Pour Over</t>
  </si>
  <si>
    <t xml:space="preserve">Pour Over Dripper + Gooseneck Kettle</t>
  </si>
  <si>
    <t xml:space="preserve">Medium grind → water 95°C → pour in 5 stages → total 3.5-4 min</t>
  </si>
  <si>
    <t xml:space="preserve">Bright, Clean, Fruity, Floral</t>
  </si>
  <si>
    <t xml:space="preserve">French Press</t>
  </si>
  <si>
    <t xml:space="preserve">Coarse grind → water 93°C → steep 4 min → press slowly 20 sec</t>
  </si>
  <si>
    <t xml:space="preserve">Rich, Full-bodied, Bold</t>
  </si>
  <si>
    <t xml:space="preserve">Batch Brew</t>
  </si>
  <si>
    <t xml:space="preserve">Automatic Dripper</t>
  </si>
  <si>
    <t xml:space="preserve">Medium grind → 1:16 ratio → brew 4-5 min → serve immediately</t>
  </si>
  <si>
    <t xml:space="preserve">Smooth, Balanced</t>
  </si>
  <si>
    <t xml:space="preserve">Vietnamese Phin</t>
  </si>
  <si>
    <t xml:space="preserve">Medium-coarse grind → bloom 30 sec → add water → wait 4-6 min</t>
  </si>
  <si>
    <t xml:space="preserve">Bold, Chocolatey, Sweet</t>
  </si>
  <si>
    <t xml:space="preserve">Cold Drip</t>
  </si>
  <si>
    <t xml:space="preserve">Cold Drip Tower</t>
  </si>
  <si>
    <t xml:space="preserve">Medium-coarse grind → 1 drop/sec → wait 8-12 hrs → dilute with ice</t>
  </si>
  <si>
    <t xml:space="preserve">Clean, Smooth, Light, Tea-like</t>
  </si>
  <si>
    <t xml:space="preserve">Cold Brew</t>
  </si>
  <si>
    <t xml:space="preserve">Glass Jar + Mesh Filter</t>
  </si>
  <si>
    <t xml:space="preserve">Coarse grind → 1:8 ratio → refrigerate 12-24 hrs → filter grounds</t>
  </si>
  <si>
    <t xml:space="preserve">Smooth, Sweet, Low-acid, Chocolatey</t>
  </si>
  <si>
    <t xml:space="preserve">📊  SUMMARY STATISTICS</t>
  </si>
  <si>
    <t xml:space="preserve">Fastest Brew</t>
  </si>
  <si>
    <t xml:space="preserve">Slowest Brew</t>
  </si>
  <si>
    <t xml:space="preserve">Highest Caffeine</t>
  </si>
  <si>
    <t xml:space="preserve">Avg Caffeine (mg)</t>
  </si>
  <si>
    <t xml:space="preserve">Avg Acidity</t>
  </si>
  <si>
    <t xml:space="preserve">Avg Bitterness</t>
  </si>
  <si>
    <t xml:space="preserve">Avg Body</t>
  </si>
  <si>
    <t xml:space="preserve">☕  PIVOT TABLE — COFFEE METRICS BY COMPLEXITY</t>
  </si>
  <si>
    <t xml:space="preserve">Aggregated statistics grouped by Complexity level — formulas link dynamically to the Dataset sheet</t>
  </si>
  <si>
    <t xml:space="preserve">Count</t>
  </si>
  <si>
    <t xml:space="preserve">Max Caffeine</t>
  </si>
  <si>
    <t xml:space="preserve">Avg Score Index</t>
  </si>
  <si>
    <t xml:space="preserve">ALL</t>
  </si>
  <si>
    <t xml:space="preserve">🟤 High = espresso-machine methods</t>
  </si>
  <si>
    <t xml:space="preserve">🟡 Medium = stovetop methods</t>
  </si>
  <si>
    <t xml:space="preserve">🟢 Low = immersion / slow methods</t>
  </si>
  <si>
    <t xml:space="preserve">☕  PIVOT TABLE — BY CAFFEINE LEVEL</t>
  </si>
  <si>
    <t xml:space="preserve">Avg Brew Time (min)</t>
  </si>
  <si>
    <t xml:space="preserve">Avg Antioxidant</t>
  </si>
  <si>
    <t xml:space="preserve">Complexity Mix</t>
  </si>
  <si>
    <t xml:space="preserve">🟢 Low (≤75mg)</t>
  </si>
  <si>
    <t xml:space="preserve">Low-complexity dominant</t>
  </si>
  <si>
    <t xml:space="preserve">🟡 Medium (76-200mg)</t>
  </si>
  <si>
    <t xml:space="preserve">High-complexity dominant</t>
  </si>
  <si>
    <t xml:space="preserve">🔴 High (&gt;200mg)</t>
  </si>
  <si>
    <t xml:space="preserve">Mix of all complexity</t>
  </si>
  <si>
    <t xml:space="preserve">☕  VLOOKUP — COFFEE METHOD QUICK LOOKUP</t>
  </si>
  <si>
    <t xml:space="preserve">Type a method name in the yellow cell → all stats populate automatically via VLOOKUP</t>
  </si>
  <si>
    <t xml:space="preserve">🔎  Enter Method Name:</t>
  </si>
  <si>
    <t xml:space="preserve">Equipment</t>
  </si>
  <si>
    <t xml:space="preserve">Brewing Guide</t>
  </si>
  <si>
    <t xml:space="preserve">📋  VALID METHOD NAMES (copy &amp; paste into yellow cell above)</t>
  </si>
  <si>
    <t xml:space="preserve">⭐  SKILL RATINGS — SENSORY PROFILE DASHBOARD</t>
  </si>
  <si>
    <t xml:space="preserve">Visual rating bars per method  ·  Colour-coded by intensity</t>
  </si>
  <si>
    <t xml:space="preserve">Skill Level</t>
  </si>
  <si>
    <t xml:space="preserve">Sleep Risk</t>
  </si>
  <si>
    <t xml:space="preserve">Pour Over Dripper</t>
  </si>
  <si>
    <t xml:space="preserve">Glass Jar</t>
  </si>
  <si>
    <t xml:space="preserve">🎯  BREW SELECTOR — FIND YOUR PERFECT COFFEE</t>
  </si>
  <si>
    <t xml:space="preserve">Adjust the sliders (yellow cells) and your perfect method appears automatically</t>
  </si>
  <si>
    <t xml:space="preserve">⚙️  YOUR PREFERENCES</t>
  </si>
  <si>
    <t xml:space="preserve">🎯  RECOMMENDED METHODS</t>
  </si>
  <si>
    <t xml:space="preserve">Max Brew Time (min)</t>
  </si>
  <si>
    <t xml:space="preserve">Brew Time</t>
  </si>
  <si>
    <t xml:space="preserve">Caffeine</t>
  </si>
  <si>
    <t xml:space="preserve">Body</t>
  </si>
  <si>
    <t xml:space="preserve">Bitterness</t>
  </si>
  <si>
    <t xml:space="preserve">Acidity</t>
  </si>
  <si>
    <t xml:space="preserve">Max Caffeine (mg)</t>
  </si>
  <si>
    <t xml:space="preserve">Min Body Score (1-10)</t>
  </si>
  <si>
    <t xml:space="preserve">Max Bitterness (1-10)</t>
  </si>
  <si>
    <t xml:space="preserve">Max Acidity (1-10)</t>
  </si>
  <si>
    <t xml:space="preserve">📌  HOW TO USE</t>
  </si>
  <si>
    <t xml:space="preserve">1. Edit yellow cells (B5:B9)</t>
  </si>
  <si>
    <t xml:space="preserve">2. Green rows = matching methods</t>
  </si>
  <si>
    <t xml:space="preserve">3. '—' = doesn't match your prefs</t>
  </si>
  <si>
    <t xml:space="preserve">4. Try relaxing filters for more options</t>
  </si>
  <si>
    <t xml:space="preserve">5. Brew Time in minutes (480=8hrs)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</si>
</sst>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E8C99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C18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4A2C1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F5E6D3"/>
      <name val="Calibri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B4A2D"/>
      <name val="Calibri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2C1810"/>
      <name val="Arial"/>
      <family val="0"/>
      <charset val="1"/>
    </font>
    <font>
      <sz val="10"/>
      <color rgb="FF2C1810"/>
      <name val="Arial"/>
      <family val="0"/>
      <charset val="1"/>
    </font>
    <font>
      <sz val="10"/>
      <color rgb="FF2C1810"/>
      <name val="Calibri"/>
      <family val="0"/>
      <charset val="1"/>
    </font>
    <font>
      <b val="true"/>
      <sz val="11"/>
      <color rgb="FF2C1810"/>
      <name val="Arial"/>
      <family val="0"/>
      <charset val="1"/>
    </font>
    <font>
      <sz val="9"/>
      <color rgb="FF2C18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C1810"/>
        <bgColor rgb="FF4A2C17"/>
      </patternFill>
    </fill>
    <fill>
      <patternFill patternType="solid">
        <fgColor rgb="FF4A2C17"/>
        <bgColor rgb="FF2C1810"/>
      </patternFill>
    </fill>
    <fill>
      <patternFill patternType="solid">
        <fgColor rgb="FF7B4A2D"/>
        <bgColor rgb="FF7D5A00"/>
      </patternFill>
    </fill>
    <fill>
      <patternFill patternType="solid">
        <fgColor rgb="FFFDF6EE"/>
        <bgColor rgb="FFF2F2F2"/>
      </patternFill>
    </fill>
    <fill>
      <patternFill patternType="solid">
        <fgColor rgb="FFF5E6D3"/>
        <bgColor rgb="FFFFE0CC"/>
      </patternFill>
    </fill>
    <fill>
      <patternFill patternType="solid">
        <fgColor rgb="FFEAD5B8"/>
        <bgColor rgb="FFE8C99A"/>
      </patternFill>
    </fill>
    <fill>
      <patternFill patternType="solid">
        <fgColor rgb="FFFFD966"/>
        <bgColor rgb="FFFFEB9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8A090"/>
      </left>
      <right style="thin">
        <color rgb="FFB8A090"/>
      </right>
      <top style="thin">
        <color rgb="FFB8A090"/>
      </top>
      <bottom style="thin">
        <color rgb="FFB8A090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medium">
        <color rgb="FFC8860A"/>
      </left>
      <right style="medium">
        <color rgb="FFC8860A"/>
      </right>
      <top style="medium">
        <color rgb="FFC8860A"/>
      </top>
      <bottom style="medium">
        <color rgb="FFC8860A"/>
      </bottom>
      <diagonal/>
    </border>
    <border diagonalUp="false" diagonalDown="false">
      <left style="thin">
        <color rgb="FFBBBBBB"/>
      </left>
      <right style="thin">
        <color rgb="FFB8A090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b val="1"/>
        <color rgb="FF8B2500"/>
        <sz val="10"/>
      </font>
      <fill>
        <patternFill>
          <bgColor rgb="FFFFE0CC"/>
        </patternFill>
      </fill>
    </dxf>
    <dxf>
      <font>
        <name val="Arial"/>
        <charset val="1"/>
        <family val="0"/>
        <b val="1"/>
        <color rgb="FF7D5A00"/>
        <sz val="1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274E13"/>
        <sz val="10"/>
      </font>
      <fill>
        <patternFill>
          <bgColor rgb="FFD9EAD3"/>
        </patternFill>
      </fill>
    </dxf>
    <dxf>
      <font>
        <name val="Arial"/>
        <charset val="1"/>
        <family val="0"/>
        <color rgb="FF276221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7D5A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7D5A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AAAAAA"/>
        <sz val="10"/>
      </font>
      <fill>
        <patternFill>
          <bgColor rgb="FFF2F2F2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E0CC"/>
      <rgbColor rgb="FFFF00FF"/>
      <rgbColor rgb="FF00FFFF"/>
      <rgbColor rgb="FF9C0006"/>
      <rgbColor rgb="FF276221"/>
      <rgbColor rgb="FF000080"/>
      <rgbColor rgb="FF7D5A00"/>
      <rgbColor rgb="FF800080"/>
      <rgbColor rgb="FF008080"/>
      <rgbColor rgb="FFBBBBBB"/>
      <rgbColor rgb="FF808080"/>
      <rgbColor rgb="FF9999FF"/>
      <rgbColor rgb="FF7B4A2D"/>
      <rgbColor rgb="FFFFF2CC"/>
      <rgbColor rgb="FFD9EAD3"/>
      <rgbColor rgb="FF660066"/>
      <rgbColor rgb="FFFF8080"/>
      <rgbColor rgb="FF0066CC"/>
      <rgbColor rgb="FFEAD5B8"/>
      <rgbColor rgb="FF000080"/>
      <rgbColor rgb="FFFF00FF"/>
      <rgbColor rgb="FFFDF6EE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F5E6D3"/>
      <rgbColor rgb="FFFFC7CE"/>
      <rgbColor rgb="FFB8A090"/>
      <rgbColor rgb="FFE8C99A"/>
      <rgbColor rgb="FF4472C4"/>
      <rgbColor rgb="FF33CCCC"/>
      <rgbColor rgb="FF99CC00"/>
      <rgbColor rgb="FFFFD966"/>
      <rgbColor rgb="FFC8860A"/>
      <rgbColor rgb="FFFF6600"/>
      <rgbColor rgb="FF666699"/>
      <rgbColor rgb="FFAAAAAA"/>
      <rgbColor rgb="FF003366"/>
      <rgbColor rgb="FF70AD47"/>
      <rgbColor rgb="FF274E13"/>
      <rgbColor rgb="FF4A2C17"/>
      <rgbColor rgb="FF8B2500"/>
      <rgbColor rgb="FF993366"/>
      <rgbColor rgb="FF333399"/>
      <rgbColor rgb="FF2C181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4A2D"/>
    <pageSetUpPr fitToPage="false"/>
  </sheetPr>
  <dimension ref="A1:N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4"/>
    <col collapsed="false" customWidth="true" hidden="false" outlineLevel="0" max="4" min="4" style="1" width="18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8" min="7" style="1" width="11"/>
    <col collapsed="false" customWidth="true" hidden="false" outlineLevel="0" max="9" min="9" style="1" width="26"/>
    <col collapsed="false" customWidth="true" hidden="false" outlineLevel="0" max="10" min="10" style="1" width="45"/>
    <col collapsed="false" customWidth="true" hidden="false" outlineLevel="0" max="11" min="11" style="1" width="30"/>
    <col collapsed="false" customWidth="true" hidden="false" outlineLevel="0" max="12" min="12" style="1" width="16"/>
    <col collapsed="false" customWidth="true" hidden="false" outlineLevel="0" max="13" min="13" style="1" width="20"/>
    <col collapsed="false" customWidth="true" hidden="false" outlineLevel="0" max="14" min="14" style="1" width="14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39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customFormat="false" ht="31.5" hidden="false" customHeight="true" outlineLevel="0" collapsed="false">
      <c r="A4" s="5" t="s">
        <v>16</v>
      </c>
      <c r="B4" s="6" t="n">
        <v>0.37</v>
      </c>
      <c r="C4" s="6" t="n">
        <v>127</v>
      </c>
      <c r="D4" s="6" t="n">
        <v>4</v>
      </c>
      <c r="E4" s="6" t="n">
        <v>5</v>
      </c>
      <c r="F4" s="6" t="n">
        <v>8</v>
      </c>
      <c r="G4" s="6" t="n">
        <v>9</v>
      </c>
      <c r="H4" s="6" t="s">
        <v>17</v>
      </c>
      <c r="I4" s="6" t="s">
        <v>18</v>
      </c>
      <c r="J4" s="6" t="s">
        <v>19</v>
      </c>
      <c r="K4" s="6" t="s">
        <v>20</v>
      </c>
      <c r="L4" s="6" t="str">
        <f aca="false">IF(C4&lt;=75,"🟢 Low",IF(C4&lt;=150,"🟡 Medium","🔴 High"))</f>
        <v>🟡 Medium</v>
      </c>
      <c r="M4" s="6" t="str">
        <f aca="false">IF(C4&lt;=75,"Won't disrupt sleep",IF(C4&lt;=200,"May affect sleep","Avoid after 2 PM"))</f>
        <v>May affect sleep</v>
      </c>
      <c r="N4" s="7" t="n">
        <f aca="false">ROUND(D4*2 + G4*1.5 - E4 + (10-F4), 1)</f>
        <v>18.5</v>
      </c>
    </row>
    <row r="5" customFormat="false" ht="31.5" hidden="false" customHeight="true" outlineLevel="0" collapsed="false">
      <c r="A5" s="8" t="s">
        <v>21</v>
      </c>
      <c r="B5" s="9" t="n">
        <v>0.47</v>
      </c>
      <c r="C5" s="9" t="n">
        <v>124</v>
      </c>
      <c r="D5" s="9" t="n">
        <v>3</v>
      </c>
      <c r="E5" s="9" t="n">
        <v>6</v>
      </c>
      <c r="F5" s="9" t="n">
        <v>7</v>
      </c>
      <c r="G5" s="9" t="n">
        <v>9</v>
      </c>
      <c r="H5" s="9" t="s">
        <v>17</v>
      </c>
      <c r="I5" s="9" t="s">
        <v>18</v>
      </c>
      <c r="J5" s="9" t="s">
        <v>22</v>
      </c>
      <c r="K5" s="9" t="s">
        <v>23</v>
      </c>
      <c r="L5" s="9" t="str">
        <f aca="false">IF(C5&lt;=75,"🟢 Low",IF(C5&lt;=150,"🟡 Medium","🔴 High"))</f>
        <v>🟡 Medium</v>
      </c>
      <c r="M5" s="9" t="str">
        <f aca="false">IF(C5&lt;=75,"Won't disrupt sleep",IF(C5&lt;=200,"May affect sleep","Avoid after 2 PM"))</f>
        <v>May affect sleep</v>
      </c>
      <c r="N5" s="10" t="n">
        <f aca="false">ROUND(D5*2 + G5*1.5 - E5 + (10-F5), 1)</f>
        <v>16.5</v>
      </c>
    </row>
    <row r="6" customFormat="false" ht="31.5" hidden="false" customHeight="true" outlineLevel="0" collapsed="false">
      <c r="A6" s="5" t="s">
        <v>24</v>
      </c>
      <c r="B6" s="6" t="n">
        <v>0.67</v>
      </c>
      <c r="C6" s="6" t="n">
        <v>186</v>
      </c>
      <c r="D6" s="6" t="n">
        <v>5</v>
      </c>
      <c r="E6" s="6" t="n">
        <v>3</v>
      </c>
      <c r="F6" s="6" t="n">
        <v>8</v>
      </c>
      <c r="G6" s="6" t="n">
        <v>6</v>
      </c>
      <c r="H6" s="6" t="s">
        <v>17</v>
      </c>
      <c r="I6" s="6" t="s">
        <v>18</v>
      </c>
      <c r="J6" s="6" t="s">
        <v>25</v>
      </c>
      <c r="K6" s="6" t="s">
        <v>26</v>
      </c>
      <c r="L6" s="6" t="str">
        <f aca="false">IF(C6&lt;=75,"🟢 Low",IF(C6&lt;=150,"🟡 Medium","🔴 High"))</f>
        <v>🔴 High</v>
      </c>
      <c r="M6" s="6" t="str">
        <f aca="false">IF(C6&lt;=75,"Won't disrupt sleep",IF(C6&lt;=200,"May affect sleep","Avoid after 2 PM"))</f>
        <v>May affect sleep</v>
      </c>
      <c r="N6" s="7" t="n">
        <f aca="false">ROUND(D6*2 + G6*1.5 - E6 + (10-F6), 1)</f>
        <v>18</v>
      </c>
    </row>
    <row r="7" customFormat="false" ht="31.5" hidden="false" customHeight="true" outlineLevel="0" collapsed="false">
      <c r="A7" s="8" t="s">
        <v>27</v>
      </c>
      <c r="B7" s="9" t="n">
        <v>1.5</v>
      </c>
      <c r="C7" s="9" t="n">
        <v>60</v>
      </c>
      <c r="D7" s="9" t="n">
        <v>1</v>
      </c>
      <c r="E7" s="9" t="n">
        <v>5</v>
      </c>
      <c r="F7" s="9" t="n">
        <v>4</v>
      </c>
      <c r="G7" s="9" t="n">
        <v>5</v>
      </c>
      <c r="H7" s="9" t="s">
        <v>28</v>
      </c>
      <c r="I7" s="9" t="s">
        <v>27</v>
      </c>
      <c r="J7" s="9" t="s">
        <v>29</v>
      </c>
      <c r="K7" s="9" t="s">
        <v>30</v>
      </c>
      <c r="L7" s="9" t="str">
        <f aca="false">IF(C7&lt;=75,"🟢 Low",IF(C7&lt;=150,"🟡 Medium","🔴 High"))</f>
        <v>🟢 Low</v>
      </c>
      <c r="M7" s="9" t="str">
        <f aca="false">IF(C7&lt;=75,"Won't disrupt sleep",IF(C7&lt;=200,"May affect sleep","Avoid after 2 PM"))</f>
        <v>Won't disrupt sleep</v>
      </c>
      <c r="N7" s="10" t="n">
        <f aca="false">ROUND(D7*2 + G7*1.5 - E7 + (10-F7), 1)</f>
        <v>10.5</v>
      </c>
    </row>
    <row r="8" customFormat="false" ht="31.5" hidden="false" customHeight="true" outlineLevel="0" collapsed="false">
      <c r="A8" s="5" t="s">
        <v>31</v>
      </c>
      <c r="B8" s="6" t="n">
        <v>3.5</v>
      </c>
      <c r="C8" s="6" t="n">
        <v>150</v>
      </c>
      <c r="D8" s="6" t="n">
        <v>2</v>
      </c>
      <c r="E8" s="6" t="n">
        <v>7</v>
      </c>
      <c r="F8" s="6" t="n">
        <v>3</v>
      </c>
      <c r="G8" s="6" t="n">
        <v>5</v>
      </c>
      <c r="H8" s="6" t="s">
        <v>17</v>
      </c>
      <c r="I8" s="6" t="s">
        <v>32</v>
      </c>
      <c r="J8" s="6" t="s">
        <v>33</v>
      </c>
      <c r="K8" s="6" t="s">
        <v>34</v>
      </c>
      <c r="L8" s="6" t="str">
        <f aca="false">IF(C8&lt;=75,"🟢 Low",IF(C8&lt;=150,"🟡 Medium","🔴 High"))</f>
        <v>🟡 Medium</v>
      </c>
      <c r="M8" s="6" t="str">
        <f aca="false">IF(C8&lt;=75,"Won't disrupt sleep",IF(C8&lt;=200,"May affect sleep","Avoid after 2 PM"))</f>
        <v>May affect sleep</v>
      </c>
      <c r="N8" s="7" t="n">
        <f aca="false">ROUND(D8*2 + G8*1.5 - E8 + (10-F8), 1)</f>
        <v>11.5</v>
      </c>
    </row>
    <row r="9" customFormat="false" ht="31.5" hidden="false" customHeight="true" outlineLevel="0" collapsed="false">
      <c r="A9" s="8" t="s">
        <v>35</v>
      </c>
      <c r="B9" s="9" t="n">
        <v>3.5</v>
      </c>
      <c r="C9" s="9" t="n">
        <v>180</v>
      </c>
      <c r="D9" s="9" t="n">
        <v>3</v>
      </c>
      <c r="E9" s="9" t="n">
        <v>3</v>
      </c>
      <c r="F9" s="9" t="n">
        <v>8</v>
      </c>
      <c r="G9" s="9" t="n">
        <v>8</v>
      </c>
      <c r="H9" s="9" t="s">
        <v>17</v>
      </c>
      <c r="I9" s="9" t="s">
        <v>36</v>
      </c>
      <c r="J9" s="9" t="s">
        <v>37</v>
      </c>
      <c r="K9" s="9" t="s">
        <v>38</v>
      </c>
      <c r="L9" s="9" t="str">
        <f aca="false">IF(C9&lt;=75,"🟢 Low",IF(C9&lt;=150,"🟡 Medium","🔴 High"))</f>
        <v>🔴 High</v>
      </c>
      <c r="M9" s="9" t="str">
        <f aca="false">IF(C9&lt;=75,"Won't disrupt sleep",IF(C9&lt;=200,"May affect sleep","Avoid after 2 PM"))</f>
        <v>May affect sleep</v>
      </c>
      <c r="N9" s="10" t="n">
        <f aca="false">ROUND(D9*2 + G9*1.5 - E9 + (10-F9), 1)</f>
        <v>17</v>
      </c>
    </row>
    <row r="10" customFormat="false" ht="31.5" hidden="false" customHeight="true" outlineLevel="0" collapsed="false">
      <c r="A10" s="5" t="s">
        <v>39</v>
      </c>
      <c r="B10" s="6" t="n">
        <v>4</v>
      </c>
      <c r="C10" s="6" t="n">
        <v>548</v>
      </c>
      <c r="D10" s="6" t="n">
        <v>3</v>
      </c>
      <c r="E10" s="6" t="n">
        <v>4</v>
      </c>
      <c r="F10" s="6" t="n">
        <v>6</v>
      </c>
      <c r="G10" s="6" t="n">
        <v>8</v>
      </c>
      <c r="H10" s="6" t="s">
        <v>40</v>
      </c>
      <c r="I10" s="6" t="s">
        <v>39</v>
      </c>
      <c r="J10" s="6" t="s">
        <v>41</v>
      </c>
      <c r="K10" s="6" t="s">
        <v>42</v>
      </c>
      <c r="L10" s="6" t="str">
        <f aca="false">IF(C10&lt;=75,"🟢 Low",IF(C10&lt;=150,"🟡 Medium","🔴 High"))</f>
        <v>🔴 High</v>
      </c>
      <c r="M10" s="6" t="str">
        <f aca="false">IF(C10&lt;=75,"Won't disrupt sleep",IF(C10&lt;=200,"May affect sleep","Avoid after 2 PM"))</f>
        <v>Avoid after 2 PM</v>
      </c>
      <c r="N10" s="7" t="n">
        <f aca="false">ROUND(D10*2 + G10*1.5 - E10 + (10-F10), 1)</f>
        <v>18</v>
      </c>
    </row>
    <row r="11" customFormat="false" ht="31.5" hidden="false" customHeight="true" outlineLevel="0" collapsed="false">
      <c r="A11" s="8" t="s">
        <v>43</v>
      </c>
      <c r="B11" s="9" t="n">
        <v>4.5</v>
      </c>
      <c r="C11" s="9" t="n">
        <v>173</v>
      </c>
      <c r="D11" s="9" t="n">
        <v>2</v>
      </c>
      <c r="E11" s="9" t="n">
        <v>8</v>
      </c>
      <c r="F11" s="9" t="n">
        <v>3</v>
      </c>
      <c r="G11" s="9" t="n">
        <v>4</v>
      </c>
      <c r="H11" s="9" t="s">
        <v>17</v>
      </c>
      <c r="I11" s="9" t="s">
        <v>44</v>
      </c>
      <c r="J11" s="9" t="s">
        <v>45</v>
      </c>
      <c r="K11" s="9" t="s">
        <v>46</v>
      </c>
      <c r="L11" s="9" t="str">
        <f aca="false">IF(C11&lt;=75,"🟢 Low",IF(C11&lt;=150,"🟡 Medium","🔴 High"))</f>
        <v>🔴 High</v>
      </c>
      <c r="M11" s="9" t="str">
        <f aca="false">IF(C11&lt;=75,"Won't disrupt sleep",IF(C11&lt;=200,"May affect sleep","Avoid after 2 PM"))</f>
        <v>May affect sleep</v>
      </c>
      <c r="N11" s="10" t="n">
        <f aca="false">ROUND(D11*2 + G11*1.5 - E11 + (10-F11), 1)</f>
        <v>9</v>
      </c>
    </row>
    <row r="12" customFormat="false" ht="31.5" hidden="false" customHeight="true" outlineLevel="0" collapsed="false">
      <c r="A12" s="5" t="s">
        <v>47</v>
      </c>
      <c r="B12" s="6" t="n">
        <v>4.5</v>
      </c>
      <c r="C12" s="6" t="n">
        <v>186</v>
      </c>
      <c r="D12" s="6" t="n">
        <v>3</v>
      </c>
      <c r="E12" s="6" t="n">
        <v>4</v>
      </c>
      <c r="F12" s="6" t="n">
        <v>6</v>
      </c>
      <c r="G12" s="6" t="n">
        <v>8</v>
      </c>
      <c r="H12" s="6" t="s">
        <v>28</v>
      </c>
      <c r="I12" s="6" t="s">
        <v>47</v>
      </c>
      <c r="J12" s="6" t="s">
        <v>48</v>
      </c>
      <c r="K12" s="6" t="s">
        <v>49</v>
      </c>
      <c r="L12" s="6" t="str">
        <f aca="false">IF(C12&lt;=75,"🟢 Low",IF(C12&lt;=150,"🟡 Medium","🔴 High"))</f>
        <v>🔴 High</v>
      </c>
      <c r="M12" s="6" t="str">
        <f aca="false">IF(C12&lt;=75,"Won't disrupt sleep",IF(C12&lt;=200,"May affect sleep","Avoid after 2 PM"))</f>
        <v>May affect sleep</v>
      </c>
      <c r="N12" s="7" t="n">
        <f aca="false">ROUND(D12*2 + G12*1.5 - E12 + (10-F12), 1)</f>
        <v>18</v>
      </c>
    </row>
    <row r="13" customFormat="false" ht="31.5" hidden="false" customHeight="true" outlineLevel="0" collapsed="false">
      <c r="A13" s="8" t="s">
        <v>50</v>
      </c>
      <c r="B13" s="9" t="n">
        <v>5</v>
      </c>
      <c r="C13" s="9" t="n">
        <v>150</v>
      </c>
      <c r="D13" s="9" t="n">
        <v>2</v>
      </c>
      <c r="E13" s="9" t="n">
        <v>5</v>
      </c>
      <c r="F13" s="9" t="n">
        <v>4</v>
      </c>
      <c r="G13" s="9" t="n">
        <v>5</v>
      </c>
      <c r="H13" s="9" t="s">
        <v>28</v>
      </c>
      <c r="I13" s="9" t="s">
        <v>51</v>
      </c>
      <c r="J13" s="9" t="s">
        <v>52</v>
      </c>
      <c r="K13" s="9" t="s">
        <v>53</v>
      </c>
      <c r="L13" s="9" t="str">
        <f aca="false">IF(C13&lt;=75,"🟢 Low",IF(C13&lt;=150,"🟡 Medium","🔴 High"))</f>
        <v>🟡 Medium</v>
      </c>
      <c r="M13" s="9" t="str">
        <f aca="false">IF(C13&lt;=75,"Won't disrupt sleep",IF(C13&lt;=200,"May affect sleep","Avoid after 2 PM"))</f>
        <v>May affect sleep</v>
      </c>
      <c r="N13" s="10" t="n">
        <f aca="false">ROUND(D13*2 + G13*1.5 - E13 + (10-F13), 1)</f>
        <v>12.5</v>
      </c>
    </row>
    <row r="14" customFormat="false" ht="31.5" hidden="false" customHeight="true" outlineLevel="0" collapsed="false">
      <c r="A14" s="5" t="s">
        <v>54</v>
      </c>
      <c r="B14" s="6" t="n">
        <v>6.5</v>
      </c>
      <c r="C14" s="6" t="n">
        <v>450</v>
      </c>
      <c r="D14" s="6" t="n">
        <v>3</v>
      </c>
      <c r="E14" s="6" t="n">
        <v>3</v>
      </c>
      <c r="F14" s="6" t="n">
        <v>6</v>
      </c>
      <c r="G14" s="6" t="n">
        <v>7</v>
      </c>
      <c r="H14" s="6" t="s">
        <v>28</v>
      </c>
      <c r="I14" s="6" t="s">
        <v>54</v>
      </c>
      <c r="J14" s="6" t="s">
        <v>55</v>
      </c>
      <c r="K14" s="6" t="s">
        <v>56</v>
      </c>
      <c r="L14" s="6" t="str">
        <f aca="false">IF(C14&lt;=75,"🟢 Low",IF(C14&lt;=150,"🟡 Medium","🔴 High"))</f>
        <v>🔴 High</v>
      </c>
      <c r="M14" s="6" t="str">
        <f aca="false">IF(C14&lt;=75,"Won't disrupt sleep",IF(C14&lt;=200,"May affect sleep","Avoid after 2 PM"))</f>
        <v>Avoid after 2 PM</v>
      </c>
      <c r="N14" s="7" t="n">
        <f aca="false">ROUND(D14*2 + G14*1.5 - E14 + (10-F14), 1)</f>
        <v>17.5</v>
      </c>
    </row>
    <row r="15" customFormat="false" ht="31.5" hidden="false" customHeight="true" outlineLevel="0" collapsed="false">
      <c r="A15" s="8" t="s">
        <v>57</v>
      </c>
      <c r="B15" s="9" t="n">
        <v>480</v>
      </c>
      <c r="C15" s="9" t="n">
        <v>75</v>
      </c>
      <c r="D15" s="9" t="n">
        <v>5</v>
      </c>
      <c r="E15" s="9" t="n">
        <v>2</v>
      </c>
      <c r="F15" s="9" t="n">
        <v>2</v>
      </c>
      <c r="G15" s="9" t="n">
        <v>5</v>
      </c>
      <c r="H15" s="9" t="s">
        <v>28</v>
      </c>
      <c r="I15" s="9" t="s">
        <v>58</v>
      </c>
      <c r="J15" s="9" t="s">
        <v>59</v>
      </c>
      <c r="K15" s="9" t="s">
        <v>60</v>
      </c>
      <c r="L15" s="9" t="str">
        <f aca="false">IF(C15&lt;=75,"🟢 Low",IF(C15&lt;=150,"🟡 Medium","🔴 High"))</f>
        <v>🟢 Low</v>
      </c>
      <c r="M15" s="9" t="str">
        <f aca="false">IF(C15&lt;=75,"Won't disrupt sleep",IF(C15&lt;=200,"May affect sleep","Avoid after 2 PM"))</f>
        <v>Won't disrupt sleep</v>
      </c>
      <c r="N15" s="10" t="n">
        <f aca="false">ROUND(D15*2 + G15*1.5 - E15 + (10-F15), 1)</f>
        <v>23.5</v>
      </c>
    </row>
    <row r="16" customFormat="false" ht="31.5" hidden="false" customHeight="true" outlineLevel="0" collapsed="false">
      <c r="A16" s="5" t="s">
        <v>61</v>
      </c>
      <c r="B16" s="6" t="n">
        <v>1080</v>
      </c>
      <c r="C16" s="6" t="n">
        <v>560</v>
      </c>
      <c r="D16" s="6" t="n">
        <v>2</v>
      </c>
      <c r="E16" s="6" t="n">
        <v>2</v>
      </c>
      <c r="F16" s="6" t="n">
        <v>2</v>
      </c>
      <c r="G16" s="6" t="n">
        <v>6</v>
      </c>
      <c r="H16" s="6" t="s">
        <v>28</v>
      </c>
      <c r="I16" s="6" t="s">
        <v>62</v>
      </c>
      <c r="J16" s="6" t="s">
        <v>63</v>
      </c>
      <c r="K16" s="6" t="s">
        <v>64</v>
      </c>
      <c r="L16" s="6" t="str">
        <f aca="false">IF(C16&lt;=75,"🟢 Low",IF(C16&lt;=150,"🟡 Medium","🔴 High"))</f>
        <v>🔴 High</v>
      </c>
      <c r="M16" s="6" t="str">
        <f aca="false">IF(C16&lt;=75,"Won't disrupt sleep",IF(C16&lt;=200,"May affect sleep","Avoid after 2 PM"))</f>
        <v>Avoid after 2 PM</v>
      </c>
      <c r="N16" s="7" t="n">
        <f aca="false">ROUND(D16*2 + G16*1.5 - E16 + (10-F16), 1)</f>
        <v>19</v>
      </c>
    </row>
    <row r="18" customFormat="false" ht="12" hidden="false" customHeight="true" outlineLevel="0" collapsed="false"/>
    <row r="19" customFormat="false" ht="15" hidden="false" customHeight="true" outlineLevel="0" collapsed="false">
      <c r="A19" s="11" t="s">
        <v>65</v>
      </c>
      <c r="B19" s="11"/>
      <c r="C19" s="11"/>
      <c r="D19" s="11"/>
    </row>
    <row r="20" customFormat="false" ht="21.75" hidden="false" customHeight="true" outlineLevel="0" collapsed="false">
      <c r="A20" s="12" t="s">
        <v>66</v>
      </c>
      <c r="B20" s="13" t="str">
        <f aca="false">INDEX(A4:A16,MATCH(MIN(B4:B16),B4:B16,0))</f>
        <v>Ristretto</v>
      </c>
      <c r="C20" s="14"/>
      <c r="D20" s="14"/>
    </row>
    <row r="21" customFormat="false" ht="21.75" hidden="false" customHeight="true" outlineLevel="0" collapsed="false">
      <c r="A21" s="12" t="s">
        <v>67</v>
      </c>
      <c r="B21" s="13" t="str">
        <f aca="false">INDEX(A4:A16,MATCH(MAX(B4:B16),B4:B16,0))</f>
        <v>Cold Brew</v>
      </c>
      <c r="C21" s="14"/>
      <c r="D21" s="14"/>
    </row>
    <row r="22" customFormat="false" ht="21.75" hidden="false" customHeight="true" outlineLevel="0" collapsed="false">
      <c r="A22" s="12" t="s">
        <v>68</v>
      </c>
      <c r="B22" s="13" t="str">
        <f aca="false">INDEX(A4:A16,MATCH(MAX(C4:C16),C4:C16,0))</f>
        <v>Cold Brew</v>
      </c>
      <c r="C22" s="14"/>
      <c r="D22" s="14"/>
    </row>
    <row r="23" customFormat="false" ht="21.75" hidden="false" customHeight="true" outlineLevel="0" collapsed="false">
      <c r="A23" s="12" t="s">
        <v>69</v>
      </c>
      <c r="B23" s="13" t="n">
        <f aca="false">ROUND(AVERAGE(C4:C16),0)</f>
        <v>228</v>
      </c>
      <c r="C23" s="14"/>
      <c r="D23" s="14"/>
    </row>
    <row r="24" customFormat="false" ht="21.75" hidden="false" customHeight="true" outlineLevel="0" collapsed="false">
      <c r="A24" s="12" t="s">
        <v>70</v>
      </c>
      <c r="B24" s="13" t="n">
        <f aca="false">ROUND(AVERAGE(E4:E16),1)</f>
        <v>4.4</v>
      </c>
      <c r="C24" s="14"/>
      <c r="D24" s="14"/>
    </row>
    <row r="25" customFormat="false" ht="21.75" hidden="false" customHeight="true" outlineLevel="0" collapsed="false">
      <c r="A25" s="12" t="s">
        <v>71</v>
      </c>
      <c r="B25" s="13" t="n">
        <f aca="false">ROUND(AVERAGE(F4:F16),1)</f>
        <v>5.2</v>
      </c>
      <c r="C25" s="14"/>
      <c r="D25" s="14"/>
    </row>
    <row r="26" customFormat="false" ht="21.75" hidden="false" customHeight="true" outlineLevel="0" collapsed="false">
      <c r="A26" s="12" t="s">
        <v>72</v>
      </c>
      <c r="B26" s="13" t="n">
        <f aca="false">ROUND(AVERAGE(G4:G16),1)</f>
        <v>6.5</v>
      </c>
      <c r="C26" s="14"/>
      <c r="D26" s="14"/>
    </row>
  </sheetData>
  <mergeCells count="3">
    <mergeCell ref="A1:N1"/>
    <mergeCell ref="A2:N2"/>
    <mergeCell ref="A19:D19"/>
  </mergeCells>
  <conditionalFormatting sqref="C4:C16">
    <cfRule type="colorScale" priority="2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E4:E16">
    <cfRule type="colorScale" priority="3">
      <colorScale>
        <cfvo type="min" val="0"/>
        <cfvo type="max" val="0"/>
        <color rgb="FFFFF2CC"/>
        <color rgb="FFC00000"/>
      </colorScale>
    </cfRule>
  </conditionalFormatting>
  <conditionalFormatting sqref="F4:F16">
    <cfRule type="dataBar" priority="4">
      <dataBar showValue="1" minLength="10" maxLength="90">
        <cfvo type="min" val="0"/>
        <cfvo type="max" val="0"/>
        <color rgb="FF7B4A2D"/>
      </dataBar>
      <extLst>
        <ext xmlns:x14="http://schemas.microsoft.com/office/spreadsheetml/2009/9/main" uri="{B025F937-C7B1-47D3-B67F-A62EFF666E3E}">
          <x14:id>{E4B5B9B7-1131-456B-B95D-FADD918CE23B}</x14:id>
        </ext>
      </extLst>
    </cfRule>
  </conditionalFormatting>
  <conditionalFormatting sqref="G4:G16">
    <cfRule type="dataBar" priority="5">
      <dataBar showValue="1" minLength="10" maxLength="90">
        <cfvo type="min" val="0"/>
        <cfvo type="max" val="0"/>
        <color rgb="FF4472C4"/>
      </dataBar>
      <extLst>
        <ext xmlns:x14="http://schemas.microsoft.com/office/spreadsheetml/2009/9/main" uri="{B025F937-C7B1-47D3-B67F-A62EFF666E3E}">
          <x14:id>{514F3481-BCAD-44CA-BA51-FA7030A7FF78}</x14:id>
        </ext>
      </extLst>
    </cfRule>
  </conditionalFormatting>
  <conditionalFormatting sqref="D4:D16">
    <cfRule type="colorScale" priority="6">
      <colorScale>
        <cfvo type="min" val="0"/>
        <cfvo type="max" val="0"/>
        <color rgb="FFF2F2F2"/>
        <color rgb="FFC8860A"/>
      </colorScale>
    </cfRule>
  </conditionalFormatting>
  <conditionalFormatting sqref="N4:N16">
    <cfRule type="colorScale" priority="7">
      <colorScale>
        <cfvo type="min" val="0"/>
        <cfvo type="percentile" val="50"/>
        <cfvo type="max" val="0"/>
        <color rgb="FFF2F2F2"/>
        <color rgb="FFFFE699"/>
        <color rgb="FF70AD47"/>
      </colorScale>
    </cfRule>
  </conditionalFormatting>
  <conditionalFormatting sqref="H4:H16">
    <cfRule type="expression" priority="8" aboveAverage="0" equalAverage="0" bottom="0" percent="0" rank="0" text="" dxfId="0">
      <formula>H4="High"</formula>
    </cfRule>
    <cfRule type="expression" priority="9" aboveAverage="0" equalAverage="0" bottom="0" percent="0" rank="0" text="" dxfId="1">
      <formula>H4="Medium"</formula>
    </cfRule>
    <cfRule type="expression" priority="10" aboveAverage="0" equalAverage="0" bottom="0" percent="0" rank="0" text="" dxfId="2">
      <formula>H4="Low"</formula>
    </cfRule>
  </conditionalFormatting>
  <conditionalFormatting sqref="M4:M16">
    <cfRule type="expression" priority="11" aboveAverage="0" equalAverage="0" bottom="0" percent="0" rank="0" text="" dxfId="3">
      <formula>M4="Won't disrupt sleep"</formula>
    </cfRule>
    <cfRule type="expression" priority="12" aboveAverage="0" equalAverage="0" bottom="0" percent="0" rank="0" text="" dxfId="4">
      <formula>M4="May affect sleep"</formula>
    </cfRule>
    <cfRule type="expression" priority="13" aboveAverage="0" equalAverage="0" bottom="0" percent="0" rank="0" text="" dxfId="5">
      <formula>M4="Avoid after 2 PM"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B5B9B7-1131-456B-B95D-FADD918CE23B}">
            <x14:dataBar minLength="10" maxLength="90" axisPosition="none" gradient="true">
              <x14:cfvo type="min"/>
              <x14:cfvo type="max"/>
              <x14:negativeFillColor rgb="FF7B4A2D"/>
              <x14:axisColor rgb="FF000000"/>
            </x14:dataBar>
          </x14:cfRule>
          <xm:sqref>F4:F16</xm:sqref>
        </x14:conditionalFormatting>
        <x14:conditionalFormatting xmlns:xm="http://schemas.microsoft.com/office/excel/2006/main">
          <x14:cfRule type="dataBar" id="{514F3481-BCAD-44CA-BA51-FA7030A7FF78}">
            <x14:dataBar minLength="10" maxLength="90" axisPosition="none" gradient="true">
              <x14:cfvo type="min"/>
              <x14:cfvo type="max"/>
              <x14:negativeFillColor rgb="FF4472C4"/>
              <x14:axisColor rgb="FF000000"/>
            </x14:dataBar>
          </x14:cfRule>
          <xm:sqref>G4:G16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860A"/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6" min="4" style="1" width="14"/>
    <col collapsed="false" customWidth="true" hidden="false" outlineLevel="0" max="7" min="7" style="1" width="16"/>
    <col collapsed="false" customWidth="true" hidden="false" outlineLevel="0" max="8" min="8" style="1" width="18"/>
  </cols>
  <sheetData>
    <row r="1" customFormat="false" ht="43.5" hidden="false" customHeight="true" outlineLevel="0" collapsed="false">
      <c r="A1" s="15" t="s">
        <v>73</v>
      </c>
      <c r="B1" s="15"/>
      <c r="C1" s="15"/>
      <c r="D1" s="15"/>
      <c r="E1" s="15"/>
      <c r="F1" s="15"/>
      <c r="G1" s="15"/>
      <c r="H1" s="15"/>
    </row>
    <row r="2" customFormat="false" ht="21.75" hidden="false" customHeight="true" outlineLevel="0" collapsed="false">
      <c r="A2" s="16" t="s">
        <v>74</v>
      </c>
      <c r="B2" s="16"/>
      <c r="C2" s="16"/>
      <c r="D2" s="16"/>
      <c r="E2" s="16"/>
      <c r="F2" s="16"/>
      <c r="G2" s="16"/>
      <c r="H2" s="16"/>
    </row>
    <row r="3" customFormat="false" ht="36" hidden="false" customHeight="true" outlineLevel="0" collapsed="false">
      <c r="A3" s="4" t="s">
        <v>9</v>
      </c>
      <c r="B3" s="4" t="s">
        <v>75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76</v>
      </c>
      <c r="H3" s="4" t="s">
        <v>77</v>
      </c>
    </row>
    <row r="4" customFormat="false" ht="27.75" hidden="false" customHeight="true" outlineLevel="0" collapsed="false">
      <c r="A4" s="6" t="s">
        <v>17</v>
      </c>
      <c r="B4" s="6" t="n">
        <f aca="false">COUNTIF('☕ Dataset'!H4:H16,"High")</f>
        <v>6</v>
      </c>
      <c r="C4" s="6" t="n">
        <f aca="false">IFERROR(ROUND(AVERAGEIF('☕ Dataset'!H4:H16,"High",'☕ Dataset'!C4:C16),1),"-")</f>
        <v>156.7</v>
      </c>
      <c r="D4" s="6" t="n">
        <f aca="false">IFERROR(ROUND(AVERAGEIF('☕ Dataset'!H4:H16,"High",'☕ Dataset'!E4:E16),1),"-")</f>
        <v>5.3</v>
      </c>
      <c r="E4" s="6" t="n">
        <f aca="false">IFERROR(ROUND(AVERAGEIF('☕ Dataset'!H4:H16,"High",'☕ Dataset'!F4:F16),1),"-")</f>
        <v>6.2</v>
      </c>
      <c r="F4" s="6" t="n">
        <f aca="false">IFERROR(ROUND(AVERAGEIF('☕ Dataset'!H4:H16,"High",'☕ Dataset'!G4:G16),1),"-")</f>
        <v>6.8</v>
      </c>
      <c r="G4" s="6" t="str">
        <f aca="false">IFERROR(maxifs('☕ Dataset'!C4:C16,'☕ Dataset'!H4:H16,"High"),"-")</f>
        <v>-</v>
      </c>
      <c r="H4" s="6" t="n">
        <f aca="false">IFERROR(ROUND(AVERAGEIF('☕ Dataset'!H4:H16,"High",'☕ Dataset'!N4:N16),1),"-")</f>
        <v>15.1</v>
      </c>
    </row>
    <row r="5" customFormat="false" ht="27.75" hidden="false" customHeight="true" outlineLevel="0" collapsed="false">
      <c r="A5" s="6" t="s">
        <v>40</v>
      </c>
      <c r="B5" s="6" t="n">
        <f aca="false">COUNTIF('☕ Dataset'!H4:H16,"Medium")</f>
        <v>1</v>
      </c>
      <c r="C5" s="6" t="n">
        <f aca="false">IFERROR(ROUND(AVERAGEIF('☕ Dataset'!H4:H16,"Medium",'☕ Dataset'!C4:C16),1),"-")</f>
        <v>548</v>
      </c>
      <c r="D5" s="6" t="n">
        <f aca="false">IFERROR(ROUND(AVERAGEIF('☕ Dataset'!H4:H16,"Medium",'☕ Dataset'!E4:E16),1),"-")</f>
        <v>4</v>
      </c>
      <c r="E5" s="6" t="n">
        <f aca="false">IFERROR(ROUND(AVERAGEIF('☕ Dataset'!H4:H16,"Medium",'☕ Dataset'!F4:F16),1),"-")</f>
        <v>6</v>
      </c>
      <c r="F5" s="6" t="n">
        <f aca="false">IFERROR(ROUND(AVERAGEIF('☕ Dataset'!H4:H16,"Medium",'☕ Dataset'!G4:G16),1),"-")</f>
        <v>8</v>
      </c>
      <c r="G5" s="6" t="str">
        <f aca="false">IFERROR(maxifs('☕ Dataset'!C4:C16,'☕ Dataset'!H4:H16,"Medium"),"-")</f>
        <v>-</v>
      </c>
      <c r="H5" s="17" t="n">
        <f aca="false">IFERROR(ROUND(AVERAGEIF('☕ Dataset'!H4:H16,"Medium",'☕ Dataset'!N4:N16),1),"-")</f>
        <v>18</v>
      </c>
    </row>
    <row r="6" customFormat="false" ht="27.75" hidden="false" customHeight="true" outlineLevel="0" collapsed="false">
      <c r="A6" s="6" t="s">
        <v>28</v>
      </c>
      <c r="B6" s="6" t="n">
        <f aca="false">COUNTIF('☕ Dataset'!H4:H16,"Low")</f>
        <v>6</v>
      </c>
      <c r="C6" s="6" t="n">
        <f aca="false">IFERROR(ROUND(AVERAGEIF('☕ Dataset'!H4:H16,"Low",'☕ Dataset'!C4:C16),1),"-")</f>
        <v>246.8</v>
      </c>
      <c r="D6" s="6" t="n">
        <f aca="false">IFERROR(ROUND(AVERAGEIF('☕ Dataset'!H4:H16,"Low",'☕ Dataset'!E4:E16),1),"-")</f>
        <v>3.5</v>
      </c>
      <c r="E6" s="6" t="n">
        <f aca="false">IFERROR(ROUND(AVERAGEIF('☕ Dataset'!H4:H16,"Low",'☕ Dataset'!F4:F16),1),"-")</f>
        <v>4</v>
      </c>
      <c r="F6" s="6" t="n">
        <f aca="false">IFERROR(ROUND(AVERAGEIF('☕ Dataset'!H4:H16,"Low",'☕ Dataset'!G4:G16),1),"-")</f>
        <v>6</v>
      </c>
      <c r="G6" s="6" t="str">
        <f aca="false">IFERROR(maxifs('☕ Dataset'!C4:C16,'☕ Dataset'!H4:H16,"Low"),"-")</f>
        <v>-</v>
      </c>
      <c r="H6" s="17" t="n">
        <f aca="false">IFERROR(ROUND(AVERAGEIF('☕ Dataset'!H4:H16,"Low",'☕ Dataset'!N4:N16),1),"-")</f>
        <v>16.8</v>
      </c>
    </row>
    <row r="7" customFormat="false" ht="27.75" hidden="false" customHeight="true" outlineLevel="0" collapsed="false">
      <c r="A7" s="18" t="s">
        <v>78</v>
      </c>
      <c r="B7" s="18" t="n">
        <f aca="false">COUNTA('☕ Dataset'!A4:A16)</f>
        <v>13</v>
      </c>
      <c r="C7" s="19" t="n">
        <f aca="false">ROUND(AVERAGE('☕ Dataset'!C4:C16),1)</f>
        <v>228.4</v>
      </c>
      <c r="D7" s="19" t="n">
        <f aca="false">ROUND(AVERAGE('☕ Dataset'!E4:E16),1)</f>
        <v>4.4</v>
      </c>
      <c r="E7" s="19" t="n">
        <f aca="false">ROUND(AVERAGE('☕ Dataset'!F4:F16),1)</f>
        <v>5.2</v>
      </c>
      <c r="F7" s="19" t="n">
        <f aca="false">ROUND(AVERAGE('☕ Dataset'!G4:G16),1)</f>
        <v>6.5</v>
      </c>
      <c r="G7" s="19" t="n">
        <f aca="false">MAX('☕ Dataset'!C4:C16)</f>
        <v>560</v>
      </c>
      <c r="H7" s="19" t="n">
        <f aca="false">ROUND(AVERAGE('☕ Dataset'!N4:N16),1)</f>
        <v>16.1</v>
      </c>
    </row>
    <row r="8" customFormat="false" ht="13.5" hidden="false" customHeight="true" outlineLevel="0" collapsed="false"/>
    <row r="9" customFormat="false" ht="19.5" hidden="false" customHeight="true" outlineLevel="0" collapsed="false">
      <c r="A9" s="20" t="s">
        <v>79</v>
      </c>
      <c r="B9" s="20"/>
      <c r="C9" s="20"/>
      <c r="D9" s="20"/>
      <c r="E9" s="20"/>
      <c r="F9" s="20"/>
      <c r="G9" s="20"/>
      <c r="H9" s="20"/>
    </row>
    <row r="10" customFormat="false" ht="19.5" hidden="false" customHeight="true" outlineLevel="0" collapsed="false">
      <c r="A10" s="20" t="s">
        <v>80</v>
      </c>
      <c r="B10" s="20"/>
      <c r="C10" s="20"/>
      <c r="D10" s="20"/>
      <c r="E10" s="20"/>
      <c r="F10" s="20"/>
      <c r="G10" s="20"/>
      <c r="H10" s="20"/>
    </row>
    <row r="11" customFormat="false" ht="19.5" hidden="false" customHeight="true" outlineLevel="0" collapsed="false">
      <c r="A11" s="20" t="s">
        <v>81</v>
      </c>
      <c r="B11" s="20"/>
      <c r="C11" s="20"/>
      <c r="D11" s="20"/>
      <c r="E11" s="20"/>
      <c r="F11" s="20"/>
      <c r="G11" s="20"/>
      <c r="H11" s="20"/>
    </row>
    <row r="13" customFormat="false" ht="13.5" hidden="false" customHeight="true" outlineLevel="0" collapsed="false"/>
    <row r="14" customFormat="false" ht="36" hidden="false" customHeight="true" outlineLevel="0" collapsed="false">
      <c r="A14" s="15" t="s">
        <v>82</v>
      </c>
      <c r="B14" s="15"/>
      <c r="C14" s="15"/>
      <c r="D14" s="15"/>
      <c r="E14" s="15"/>
      <c r="F14" s="15"/>
      <c r="G14" s="15"/>
      <c r="H14" s="15"/>
    </row>
    <row r="15" customFormat="false" ht="36" hidden="false" customHeight="true" outlineLevel="0" collapsed="false">
      <c r="A15" s="4" t="s">
        <v>13</v>
      </c>
      <c r="B15" s="4" t="s">
        <v>75</v>
      </c>
      <c r="C15" s="4" t="s">
        <v>83</v>
      </c>
      <c r="D15" s="4" t="s">
        <v>70</v>
      </c>
      <c r="E15" s="4" t="s">
        <v>72</v>
      </c>
      <c r="F15" s="4" t="s">
        <v>71</v>
      </c>
      <c r="G15" s="4" t="s">
        <v>84</v>
      </c>
      <c r="H15" s="4" t="s">
        <v>85</v>
      </c>
    </row>
    <row r="16" customFormat="false" ht="27.75" hidden="false" customHeight="true" outlineLevel="0" collapsed="false">
      <c r="A16" s="6" t="s">
        <v>86</v>
      </c>
      <c r="B16" s="6" t="n">
        <f aca="false">COUNTIF('☕ Dataset'!C4:C16,"&lt;=75")</f>
        <v>2</v>
      </c>
      <c r="C16" s="6" t="n">
        <f aca="false">IFERROR(ROUND(AVERAGEIF('☕ Dataset'!C4:C16,"&lt;=75",'☕ Dataset'!B4:B16),1),"-")</f>
        <v>240.8</v>
      </c>
      <c r="D16" s="6" t="n">
        <f aca="false">IFERROR(ROUND(AVERAGEIF('☕ Dataset'!C4:C16,"&lt;=75",'☕ Dataset'!E4:E16),1),"-")</f>
        <v>3.5</v>
      </c>
      <c r="E16" s="17" t="n">
        <f aca="false">IFERROR(ROUND(AVERAGEIF('☕ Dataset'!C4:C16,"&lt;=75",'☕ Dataset'!G4:G16),1),"-")</f>
        <v>5</v>
      </c>
      <c r="F16" s="6" t="n">
        <f aca="false">IFERROR(ROUND(AVERAGEIF('☕ Dataset'!C4:C16,"&lt;=75",'☕ Dataset'!F4:F16),1),"-")</f>
        <v>3</v>
      </c>
      <c r="G16" s="6" t="n">
        <f aca="false">IFERROR(ROUND(AVERAGEIF('☕ Dataset'!C4:C16,"&lt;=75",'☕ Dataset'!D4:D16),1),"-")</f>
        <v>3</v>
      </c>
      <c r="H16" s="6" t="s">
        <v>87</v>
      </c>
    </row>
    <row r="17" customFormat="false" ht="27.75" hidden="false" customHeight="true" outlineLevel="0" collapsed="false">
      <c r="A17" s="6" t="s">
        <v>88</v>
      </c>
      <c r="B17" s="6" t="n">
        <f aca="false">COUNTIFS('☕ Dataset'!C4:C16,"&gt;75",'☕ Dataset'!C4:C16,"&lt;=200")</f>
        <v>8</v>
      </c>
      <c r="C17" s="6" t="n">
        <f aca="false">IFERROR(ROUND(AVERAGEIFS('☕ Dataset'!B4:B16,'☕ Dataset'!C4:C16,"&gt;75",'☕ Dataset'!C4:C16,"&lt;=200"),1),"-")</f>
        <v>2.8</v>
      </c>
      <c r="D17" s="6" t="n">
        <f aca="false">IFERROR(ROUND(AVERAGEIFS('☕ Dataset'!E4:E16,'☕ Dataset'!C4:C16,"&gt;75",'☕ Dataset'!C4:C16,"&lt;=200"),1),"-")</f>
        <v>5.1</v>
      </c>
      <c r="E17" s="6" t="n">
        <f aca="false">IFERROR(ROUND(AVERAGEIFS('☕ Dataset'!G4:G16,'☕ Dataset'!C4:C16,"&gt;75",'☕ Dataset'!C4:C16,"&lt;=200"),1),"-")</f>
        <v>6.8</v>
      </c>
      <c r="F17" s="6" t="n">
        <f aca="false">IFERROR(ROUND(AVERAGEIFS('☕ Dataset'!F4:F16,'☕ Dataset'!C4:C16,"&gt;75",'☕ Dataset'!C4:C16,"&lt;=200"),1),"-")</f>
        <v>5.9</v>
      </c>
      <c r="G17" s="6" t="n">
        <f aca="false">IFERROR(ROUND(AVERAGEIFS('☕ Dataset'!D4:D16,'☕ Dataset'!C4:C16,"&gt;75",'☕ Dataset'!C4:C16,"&lt;=200"),1),"-")</f>
        <v>3</v>
      </c>
      <c r="H17" s="6" t="s">
        <v>89</v>
      </c>
    </row>
    <row r="18" customFormat="false" ht="27.75" hidden="false" customHeight="true" outlineLevel="0" collapsed="false">
      <c r="A18" s="6" t="s">
        <v>90</v>
      </c>
      <c r="B18" s="6" t="n">
        <f aca="false">COUNTIF('☕ Dataset'!C4:C16,"&gt;200")</f>
        <v>3</v>
      </c>
      <c r="C18" s="6" t="n">
        <f aca="false">IFERROR(ROUND(AVERAGEIF('☕ Dataset'!C4:C16,"&gt;200",'☕ Dataset'!B4:B16),1),"-")</f>
        <v>363.5</v>
      </c>
      <c r="D18" s="6" t="n">
        <f aca="false">IFERROR(ROUND(AVERAGEIF('☕ Dataset'!C4:C16,"&gt;200",'☕ Dataset'!E4:E16),1),"-")</f>
        <v>3</v>
      </c>
      <c r="E18" s="6" t="n">
        <f aca="false">IFERROR(ROUND(AVERAGEIF('☕ Dataset'!C4:C16,"&gt;200",'☕ Dataset'!G4:G16),1),"-")</f>
        <v>7</v>
      </c>
      <c r="F18" s="6" t="n">
        <f aca="false">IFERROR(ROUND(AVERAGEIF('☕ Dataset'!C4:C16,"&gt;200",'☕ Dataset'!F4:F16),1),"-")</f>
        <v>4.7</v>
      </c>
      <c r="G18" s="6" t="n">
        <f aca="false">IFERROR(ROUND(AVERAGEIF('☕ Dataset'!C4:C16,"&gt;200",'☕ Dataset'!D4:D16),1),"-")</f>
        <v>2.7</v>
      </c>
      <c r="H18" s="6" t="s">
        <v>91</v>
      </c>
    </row>
  </sheetData>
  <mergeCells count="6">
    <mergeCell ref="A1:H1"/>
    <mergeCell ref="A2:H2"/>
    <mergeCell ref="A9:H9"/>
    <mergeCell ref="A10:H10"/>
    <mergeCell ref="A11:H11"/>
    <mergeCell ref="A14:H14"/>
  </mergeCells>
  <conditionalFormatting sqref="C5:C8">
    <cfRule type="colorScale" priority="2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C13:C16">
    <cfRule type="colorScale" priority="3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D5:D8">
    <cfRule type="colorScale" priority="4">
      <colorScale>
        <cfvo type="min" val="0"/>
        <cfvo type="max" val="0"/>
        <color rgb="FFFFF2CC"/>
        <color rgb="FFC00000"/>
      </colorScale>
    </cfRule>
  </conditionalFormatting>
  <conditionalFormatting sqref="D13:D16">
    <cfRule type="colorScale" priority="5">
      <colorScale>
        <cfvo type="min" val="0"/>
        <cfvo type="max" val="0"/>
        <color rgb="FFFFF2CC"/>
        <color rgb="FFC00000"/>
      </colorScale>
    </cfRule>
  </conditionalFormatting>
  <conditionalFormatting sqref="E5:E8">
    <cfRule type="dataBar" priority="6">
      <dataBar showValue="1" minLength="10" maxLength="90">
        <cfvo type="min" val="0"/>
        <cfvo type="max" val="0"/>
        <color rgb="FF7B4A2D"/>
      </dataBar>
      <extLst>
        <ext xmlns:x14="http://schemas.microsoft.com/office/spreadsheetml/2009/9/main" uri="{B025F937-C7B1-47D3-B67F-A62EFF666E3E}">
          <x14:id>{FBF2C5DD-7F6F-4D26-A538-514A14741FAC}</x14:id>
        </ext>
      </extLst>
    </cfRule>
  </conditionalFormatting>
  <conditionalFormatting sqref="E14:E16">
    <cfRule type="dataBar" priority="7">
      <dataBar showValue="1" minLength="10" maxLength="90">
        <cfvo type="min" val="0"/>
        <cfvo type="max" val="0"/>
        <color rgb="FF7B4A2D"/>
      </dataBar>
      <extLst>
        <ext xmlns:x14="http://schemas.microsoft.com/office/spreadsheetml/2009/9/main" uri="{B025F937-C7B1-47D3-B67F-A62EFF666E3E}">
          <x14:id>{97815CA2-1CFF-4340-9725-97B0D0B785AD}</x14:id>
        </ext>
      </extLst>
    </cfRule>
  </conditionalFormatting>
  <conditionalFormatting sqref="F5:F8">
    <cfRule type="dataBar" priority="8">
      <dataBar showValue="1" minLength="10" maxLength="90">
        <cfvo type="min" val="0"/>
        <cfvo type="max" val="0"/>
        <color rgb="FF4472C4"/>
      </dataBar>
      <extLst>
        <ext xmlns:x14="http://schemas.microsoft.com/office/spreadsheetml/2009/9/main" uri="{B025F937-C7B1-47D3-B67F-A62EFF666E3E}">
          <x14:id>{37407049-0030-48CF-BB6D-2482D04C331E}</x14:id>
        </ext>
      </extLst>
    </cfRule>
  </conditionalFormatting>
  <conditionalFormatting sqref="F13:F16">
    <cfRule type="dataBar" priority="9">
      <dataBar showValue="1" minLength="10" maxLength="90">
        <cfvo type="min" val="0"/>
        <cfvo type="max" val="0"/>
        <color rgb="FF4472C4"/>
      </dataBar>
      <extLst>
        <ext xmlns:x14="http://schemas.microsoft.com/office/spreadsheetml/2009/9/main" uri="{B025F937-C7B1-47D3-B67F-A62EFF666E3E}">
          <x14:id>{EDEB5129-E854-4BC0-81E1-2652C2291181}</x14:id>
        </ext>
      </extLst>
    </cfRule>
  </conditionalFormatting>
  <conditionalFormatting sqref="H5:H8">
    <cfRule type="colorScale" priority="10">
      <colorScale>
        <cfvo type="min" val="0"/>
        <cfvo type="percentile" val="50"/>
        <cfvo type="max" val="0"/>
        <color rgb="FFF2F2F2"/>
        <color rgb="FFFFE699"/>
        <color rgb="FF70AD47"/>
      </colorScale>
    </cfRule>
  </conditionalFormatting>
  <conditionalFormatting sqref="G5:G8">
    <cfRule type="colorScale" priority="11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F2C5DD-7F6F-4D26-A538-514A14741FAC}">
            <x14:dataBar minLength="10" maxLength="90" axisPosition="none" gradient="true">
              <x14:cfvo type="min"/>
              <x14:cfvo type="max"/>
              <x14:negativeFillColor rgb="FF7B4A2D"/>
              <x14:axisColor rgb="FF000000"/>
            </x14:dataBar>
          </x14:cfRule>
          <xm:sqref>E5:E8</xm:sqref>
        </x14:conditionalFormatting>
        <x14:conditionalFormatting xmlns:xm="http://schemas.microsoft.com/office/excel/2006/main">
          <x14:cfRule type="dataBar" id="{97815CA2-1CFF-4340-9725-97B0D0B785AD}">
            <x14:dataBar minLength="10" maxLength="90" axisPosition="none" gradient="true">
              <x14:cfvo type="min"/>
              <x14:cfvo type="max"/>
              <x14:negativeFillColor rgb="FF7B4A2D"/>
              <x14:axisColor rgb="FF000000"/>
            </x14:dataBar>
          </x14:cfRule>
          <xm:sqref>E14:E16</xm:sqref>
        </x14:conditionalFormatting>
        <x14:conditionalFormatting xmlns:xm="http://schemas.microsoft.com/office/excel/2006/main">
          <x14:cfRule type="dataBar" id="{37407049-0030-48CF-BB6D-2482D04C331E}">
            <x14:dataBar minLength="10" maxLength="90" axisPosition="none" gradient="true">
              <x14:cfvo type="min"/>
              <x14:cfvo type="max"/>
              <x14:negativeFillColor rgb="FF4472C4"/>
              <x14:axisColor rgb="FF000000"/>
            </x14:dataBar>
          </x14:cfRule>
          <xm:sqref>F5:F8</xm:sqref>
        </x14:conditionalFormatting>
        <x14:conditionalFormatting xmlns:xm="http://schemas.microsoft.com/office/excel/2006/main">
          <x14:cfRule type="dataBar" id="{EDEB5129-E854-4BC0-81E1-2652C2291181}">
            <x14:dataBar minLength="10" maxLength="90" axisPosition="none" gradient="true">
              <x14:cfvo type="min"/>
              <x14:cfvo type="max"/>
              <x14:negativeFillColor rgb="FF4472C4"/>
              <x14:axisColor rgb="FF000000"/>
            </x14:dataBar>
          </x14:cfRule>
          <xm:sqref>F13:F16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"/>
    <col collapsed="false" customWidth="true" hidden="false" outlineLevel="0" max="3" min="3" style="1" width="36"/>
    <col collapsed="false" customWidth="true" hidden="false" outlineLevel="0" max="6" min="4" style="1" width="4"/>
  </cols>
  <sheetData>
    <row r="1" customFormat="false" ht="43.5" hidden="false" customHeight="true" outlineLevel="0" collapsed="false">
      <c r="A1" s="21" t="s">
        <v>92</v>
      </c>
      <c r="B1" s="21"/>
      <c r="C1" s="21"/>
      <c r="D1" s="21"/>
      <c r="E1" s="21"/>
      <c r="F1" s="21"/>
    </row>
    <row r="2" customFormat="false" ht="21.75" hidden="false" customHeight="true" outlineLevel="0" collapsed="false">
      <c r="A2" s="22" t="s">
        <v>93</v>
      </c>
      <c r="B2" s="22"/>
      <c r="C2" s="22"/>
      <c r="D2" s="22"/>
      <c r="E2" s="22"/>
      <c r="F2" s="22"/>
    </row>
    <row r="4" customFormat="false" ht="30" hidden="false" customHeight="true" outlineLevel="0" collapsed="false">
      <c r="A4" s="23" t="s">
        <v>94</v>
      </c>
      <c r="B4" s="23"/>
      <c r="C4" s="24" t="s">
        <v>21</v>
      </c>
    </row>
    <row r="6" customFormat="false" ht="13.5" hidden="false" customHeight="true" outlineLevel="0" collapsed="false"/>
    <row r="7" customFormat="false" ht="27.75" hidden="false" customHeight="true" outlineLevel="0" collapsed="false">
      <c r="A7" s="25" t="s">
        <v>3</v>
      </c>
      <c r="B7" s="25"/>
      <c r="C7" s="26" t="n">
        <f aca="false">IFERROR(VLOOKUP($C$4,'☕ Dataset'!$A$4:$N$16,2,FALSE()),"⚠ Method not found")</f>
        <v>0.47</v>
      </c>
      <c r="D7" s="26"/>
      <c r="E7" s="26"/>
      <c r="F7" s="26"/>
    </row>
    <row r="8" customFormat="false" ht="27.75" hidden="false" customHeight="true" outlineLevel="0" collapsed="false">
      <c r="A8" s="25" t="s">
        <v>4</v>
      </c>
      <c r="B8" s="25"/>
      <c r="C8" s="27" t="n">
        <f aca="false">IFERROR(VLOOKUP($C$4,'☕ Dataset'!$A$4:$N$16,3,FALSE()),"⚠ Method not found")</f>
        <v>124</v>
      </c>
      <c r="D8" s="27"/>
      <c r="E8" s="27"/>
      <c r="F8" s="27"/>
    </row>
    <row r="9" customFormat="false" ht="27.75" hidden="false" customHeight="true" outlineLevel="0" collapsed="false">
      <c r="A9" s="25" t="s">
        <v>5</v>
      </c>
      <c r="B9" s="25"/>
      <c r="C9" s="26" t="n">
        <f aca="false">IFERROR(VLOOKUP($C$4,'☕ Dataset'!$A$4:$N$16,4,FALSE()),"⚠ Method not found")</f>
        <v>3</v>
      </c>
      <c r="D9" s="26"/>
      <c r="E9" s="26"/>
      <c r="F9" s="26"/>
    </row>
    <row r="10" customFormat="false" ht="27.75" hidden="false" customHeight="true" outlineLevel="0" collapsed="false">
      <c r="A10" s="25" t="s">
        <v>6</v>
      </c>
      <c r="B10" s="25"/>
      <c r="C10" s="27" t="n">
        <f aca="false">IFERROR(VLOOKUP($C$4,'☕ Dataset'!$A$4:$N$16,5,FALSE()),"⚠ Method not found")</f>
        <v>6</v>
      </c>
      <c r="D10" s="27"/>
      <c r="E10" s="27"/>
      <c r="F10" s="27"/>
    </row>
    <row r="11" customFormat="false" ht="27.75" hidden="false" customHeight="true" outlineLevel="0" collapsed="false">
      <c r="A11" s="25" t="s">
        <v>7</v>
      </c>
      <c r="B11" s="25"/>
      <c r="C11" s="26" t="n">
        <f aca="false">IFERROR(VLOOKUP($C$4,'☕ Dataset'!$A$4:$N$16,6,FALSE()),"⚠ Method not found")</f>
        <v>7</v>
      </c>
      <c r="D11" s="26"/>
      <c r="E11" s="26"/>
      <c r="F11" s="26"/>
    </row>
    <row r="12" customFormat="false" ht="27.75" hidden="false" customHeight="true" outlineLevel="0" collapsed="false">
      <c r="A12" s="25" t="s">
        <v>8</v>
      </c>
      <c r="B12" s="25"/>
      <c r="C12" s="27" t="n">
        <f aca="false">IFERROR(VLOOKUP($C$4,'☕ Dataset'!$A$4:$N$16,7,FALSE()),"⚠ Method not found")</f>
        <v>9</v>
      </c>
      <c r="D12" s="27"/>
      <c r="E12" s="27"/>
      <c r="F12" s="27"/>
    </row>
    <row r="13" customFormat="false" ht="27.75" hidden="false" customHeight="true" outlineLevel="0" collapsed="false">
      <c r="A13" s="25" t="s">
        <v>9</v>
      </c>
      <c r="B13" s="25"/>
      <c r="C13" s="26" t="str">
        <f aca="false">IFERROR(VLOOKUP($C$4,'☕ Dataset'!$A$4:$N$16,8,FALSE()),"⚠ Method not found")</f>
        <v>High</v>
      </c>
      <c r="D13" s="26"/>
      <c r="E13" s="26"/>
      <c r="F13" s="26"/>
    </row>
    <row r="14" customFormat="false" ht="27.75" hidden="false" customHeight="true" outlineLevel="0" collapsed="false">
      <c r="A14" s="25" t="s">
        <v>95</v>
      </c>
      <c r="B14" s="25"/>
      <c r="C14" s="27" t="str">
        <f aca="false">IFERROR(VLOOKUP($C$4,'☕ Dataset'!$A$4:$N$16,9,FALSE()),"⚠ Method not found")</f>
        <v>Espresso Machine</v>
      </c>
      <c r="D14" s="27"/>
      <c r="E14" s="27"/>
      <c r="F14" s="27"/>
    </row>
    <row r="15" customFormat="false" ht="27.75" hidden="false" customHeight="true" outlineLevel="0" collapsed="false">
      <c r="A15" s="25" t="s">
        <v>96</v>
      </c>
      <c r="B15" s="25"/>
      <c r="C15" s="26" t="str">
        <f aca="false">IFERROR(VLOOKUP($C$4,'☕ Dataset'!$A$4:$N$16,10,FALSE()),"⚠ Method not found")</f>
        <v>Grind fine → tamp 15kg → extract 25-30 sec → 36ml yield</v>
      </c>
      <c r="D15" s="26"/>
      <c r="E15" s="26"/>
      <c r="F15" s="26"/>
    </row>
    <row r="16" customFormat="false" ht="27.75" hidden="false" customHeight="true" outlineLevel="0" collapsed="false">
      <c r="A16" s="25" t="s">
        <v>12</v>
      </c>
      <c r="B16" s="25"/>
      <c r="C16" s="27" t="str">
        <f aca="false">IFERROR(VLOOKUP($C$4,'☕ Dataset'!$A$4:$N$16,11,FALSE()),"⚠ Method not found")</f>
        <v>Balanced, Chocolate, Nutty</v>
      </c>
      <c r="D16" s="27"/>
      <c r="E16" s="27"/>
      <c r="F16" s="27"/>
    </row>
    <row r="17" customFormat="false" ht="27.75" hidden="false" customHeight="true" outlineLevel="0" collapsed="false">
      <c r="A17" s="25" t="s">
        <v>13</v>
      </c>
      <c r="B17" s="25"/>
      <c r="C17" s="26" t="str">
        <f aca="false">IFERROR(VLOOKUP($C$4,'☕ Dataset'!$A$4:$N$16,12,FALSE()),"⚠ Method not found")</f>
        <v>🟡 Medium</v>
      </c>
      <c r="D17" s="26"/>
      <c r="E17" s="26"/>
      <c r="F17" s="26"/>
    </row>
    <row r="18" customFormat="false" ht="27.75" hidden="false" customHeight="true" outlineLevel="0" collapsed="false">
      <c r="A18" s="25" t="s">
        <v>14</v>
      </c>
      <c r="B18" s="25"/>
      <c r="C18" s="27" t="str">
        <f aca="false">IFERROR(VLOOKUP($C$4,'☕ Dataset'!$A$4:$N$16,13,FALSE()),"⚠ Method not found")</f>
        <v>May affect sleep</v>
      </c>
      <c r="D18" s="27"/>
      <c r="E18" s="27"/>
      <c r="F18" s="27"/>
    </row>
    <row r="19" customFormat="false" ht="27.75" hidden="false" customHeight="true" outlineLevel="0" collapsed="false">
      <c r="A19" s="25" t="s">
        <v>15</v>
      </c>
      <c r="B19" s="25"/>
      <c r="C19" s="26" t="n">
        <f aca="false">IFERROR(VLOOKUP($C$4,'☕ Dataset'!$A$4:$N$16,14,FALSE()),"⚠ Method not found")</f>
        <v>16.5</v>
      </c>
      <c r="D19" s="26"/>
      <c r="E19" s="26"/>
      <c r="F19" s="26"/>
    </row>
    <row r="22" customFormat="false" ht="13.5" hidden="false" customHeight="true" outlineLevel="0" collapsed="false"/>
    <row r="23" customFormat="false" ht="30" hidden="false" customHeight="true" outlineLevel="0" collapsed="false">
      <c r="A23" s="28" t="s">
        <v>97</v>
      </c>
      <c r="B23" s="28"/>
      <c r="C23" s="28"/>
      <c r="D23" s="28"/>
      <c r="E23" s="28"/>
      <c r="F23" s="28"/>
    </row>
    <row r="24" customFormat="false" ht="21.75" hidden="false" customHeight="true" outlineLevel="0" collapsed="false">
      <c r="A24" s="29" t="s">
        <v>16</v>
      </c>
      <c r="B24" s="29" t="s">
        <v>21</v>
      </c>
      <c r="D24" s="29" t="s">
        <v>24</v>
      </c>
      <c r="E24" s="29" t="s">
        <v>27</v>
      </c>
    </row>
    <row r="25" customFormat="false" ht="21.75" hidden="false" customHeight="true" outlineLevel="0" collapsed="false">
      <c r="A25" s="30" t="s">
        <v>31</v>
      </c>
      <c r="B25" s="30" t="s">
        <v>35</v>
      </c>
      <c r="D25" s="30" t="s">
        <v>39</v>
      </c>
      <c r="E25" s="30" t="s">
        <v>43</v>
      </c>
    </row>
    <row r="26" customFormat="false" ht="21.75" hidden="false" customHeight="true" outlineLevel="0" collapsed="false">
      <c r="A26" s="29" t="s">
        <v>47</v>
      </c>
      <c r="B26" s="29" t="s">
        <v>50</v>
      </c>
      <c r="D26" s="29" t="s">
        <v>54</v>
      </c>
      <c r="E26" s="29" t="s">
        <v>57</v>
      </c>
    </row>
    <row r="27" customFormat="false" ht="21.75" hidden="false" customHeight="true" outlineLevel="0" collapsed="false">
      <c r="A27" s="30" t="s">
        <v>61</v>
      </c>
      <c r="B27" s="31"/>
      <c r="D27" s="31"/>
      <c r="E27" s="31"/>
    </row>
  </sheetData>
  <mergeCells count="30">
    <mergeCell ref="A1:F1"/>
    <mergeCell ref="A2:F2"/>
    <mergeCell ref="A4:B4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3:F23"/>
  </mergeCells>
  <conditionalFormatting sqref="C4:C20">
    <cfRule type="expression" priority="2" aboveAverage="0" equalAverage="0" bottom="0" percent="0" rank="0" text="" dxfId="6">
      <formula>C4="Won't disrupt sleep"</formula>
    </cfRule>
    <cfRule type="expression" priority="3" aboveAverage="0" equalAverage="0" bottom="0" percent="0" rank="0" text="" dxfId="7">
      <formula>C4="May affect sleep"</formula>
    </cfRule>
    <cfRule type="expression" priority="4" aboveAverage="0" equalAverage="0" bottom="0" percent="0" rank="0" text="" dxfId="8">
      <formula>C4="Avoid after 2 PM"</formula>
    </cfRule>
    <cfRule type="expression" priority="5" aboveAverage="0" equalAverage="0" bottom="0" percent="0" rank="0" text="" dxfId="6">
      <formula>LEFT(C4,2)="🟢"</formula>
    </cfRule>
    <cfRule type="expression" priority="6" aboveAverage="0" equalAverage="0" bottom="0" percent="0" rank="0" text="" dxfId="7">
      <formula>LEFT(C4,2)="🟡"</formula>
    </cfRule>
    <cfRule type="expression" priority="7" aboveAverage="0" equalAverage="0" bottom="0" percent="0" rank="0" text="" dxfId="8">
      <formula>LEFT(C4,2)="🔴"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6"/>
    <col collapsed="false" customWidth="true" hidden="false" outlineLevel="0" max="4" min="4" style="1" width="18"/>
    <col collapsed="false" customWidth="true" hidden="false" outlineLevel="0" max="5" min="5" style="1" width="13"/>
    <col collapsed="false" customWidth="true" hidden="false" outlineLevel="0" max="6" min="6" style="1" width="24"/>
    <col collapsed="false" customWidth="true" hidden="false" outlineLevel="0" max="7" min="7" style="1" width="18"/>
    <col collapsed="false" customWidth="true" hidden="false" outlineLevel="0" max="8" min="8" style="1" width="16"/>
  </cols>
  <sheetData>
    <row r="1" customFormat="false" ht="36" hidden="false" customHeight="true" outlineLevel="0" collapsed="false">
      <c r="A1" s="2" t="s">
        <v>98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3" t="s">
        <v>99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2</v>
      </c>
      <c r="B3" s="4" t="s">
        <v>4</v>
      </c>
      <c r="C3" s="4" t="s">
        <v>6</v>
      </c>
      <c r="D3" s="4" t="s">
        <v>7</v>
      </c>
      <c r="E3" s="4" t="s">
        <v>8</v>
      </c>
      <c r="F3" s="4" t="s">
        <v>95</v>
      </c>
      <c r="G3" s="4" t="s">
        <v>100</v>
      </c>
      <c r="H3" s="4" t="s">
        <v>101</v>
      </c>
    </row>
    <row r="4" customFormat="false" ht="27.75" hidden="false" customHeight="true" outlineLevel="0" collapsed="false">
      <c r="A4" s="5" t="s">
        <v>16</v>
      </c>
      <c r="B4" s="6" t="n">
        <v>127</v>
      </c>
      <c r="C4" s="6" t="n">
        <v>5</v>
      </c>
      <c r="D4" s="6" t="n">
        <v>8</v>
      </c>
      <c r="E4" s="6" t="n">
        <v>9</v>
      </c>
      <c r="F4" s="32" t="s">
        <v>18</v>
      </c>
      <c r="G4" s="6" t="str">
        <f aca="false">IF(C4+D4&gt;=14,"🔴 Expert",IF(C4+D4&gt;=10,"🟡 Intermediate","🟢 Beginner"))</f>
        <v>🟡 Intermediate</v>
      </c>
      <c r="H4" s="17" t="str">
        <f aca="false">IF(B4&gt;300,"🔴 High Risk",IF(B4&gt;150,"🟡 Moderate","🟢 Low Risk"))</f>
        <v>🟢 Low Risk</v>
      </c>
    </row>
    <row r="5" customFormat="false" ht="27.75" hidden="false" customHeight="true" outlineLevel="0" collapsed="false">
      <c r="A5" s="8" t="s">
        <v>21</v>
      </c>
      <c r="B5" s="9" t="n">
        <v>124</v>
      </c>
      <c r="C5" s="9" t="n">
        <v>6</v>
      </c>
      <c r="D5" s="9" t="n">
        <v>7</v>
      </c>
      <c r="E5" s="9" t="n">
        <v>9</v>
      </c>
      <c r="F5" s="33" t="s">
        <v>18</v>
      </c>
      <c r="G5" s="9" t="str">
        <f aca="false">IF(C5+D5&gt;=14,"🔴 Expert",IF(C5+D5&gt;=10,"🟡 Intermediate","🟢 Beginner"))</f>
        <v>🟡 Intermediate</v>
      </c>
      <c r="H5" s="9" t="str">
        <f aca="false">IF(B5&gt;300,"🔴 High Risk",IF(B5&gt;150,"🟡 Moderate","🟢 Low Risk"))</f>
        <v>🟢 Low Risk</v>
      </c>
    </row>
    <row r="6" customFormat="false" ht="27.75" hidden="false" customHeight="true" outlineLevel="0" collapsed="false">
      <c r="A6" s="5" t="s">
        <v>24</v>
      </c>
      <c r="B6" s="6" t="n">
        <v>186</v>
      </c>
      <c r="C6" s="6" t="n">
        <v>3</v>
      </c>
      <c r="D6" s="6" t="n">
        <v>8</v>
      </c>
      <c r="E6" s="6" t="n">
        <v>6</v>
      </c>
      <c r="F6" s="32" t="s">
        <v>18</v>
      </c>
      <c r="G6" s="6" t="str">
        <f aca="false">IF(C6+D6&gt;=14,"🔴 Expert",IF(C6+D6&gt;=10,"🟡 Intermediate","🟢 Beginner"))</f>
        <v>🟡 Intermediate</v>
      </c>
      <c r="H6" s="17" t="str">
        <f aca="false">IF(B6&gt;300,"🔴 High Risk",IF(B6&gt;150,"🟡 Moderate","🟢 Low Risk"))</f>
        <v>🟡 Moderate</v>
      </c>
    </row>
    <row r="7" customFormat="false" ht="27.75" hidden="false" customHeight="true" outlineLevel="0" collapsed="false">
      <c r="A7" s="8" t="s">
        <v>27</v>
      </c>
      <c r="B7" s="9" t="n">
        <v>60</v>
      </c>
      <c r="C7" s="9" t="n">
        <v>5</v>
      </c>
      <c r="D7" s="9" t="n">
        <v>4</v>
      </c>
      <c r="E7" s="9" t="n">
        <v>5</v>
      </c>
      <c r="F7" s="33" t="s">
        <v>27</v>
      </c>
      <c r="G7" s="9" t="str">
        <f aca="false">IF(C7+D7&gt;=14,"🔴 Expert",IF(C7+D7&gt;=10,"🟡 Intermediate","🟢 Beginner"))</f>
        <v>🟢 Beginner</v>
      </c>
      <c r="H7" s="9" t="str">
        <f aca="false">IF(B7&gt;300,"🔴 High Risk",IF(B7&gt;150,"🟡 Moderate","🟢 Low Risk"))</f>
        <v>🟢 Low Risk</v>
      </c>
    </row>
    <row r="8" customFormat="false" ht="27.75" hidden="false" customHeight="true" outlineLevel="0" collapsed="false">
      <c r="A8" s="5" t="s">
        <v>31</v>
      </c>
      <c r="B8" s="6" t="n">
        <v>150</v>
      </c>
      <c r="C8" s="6" t="n">
        <v>7</v>
      </c>
      <c r="D8" s="6" t="n">
        <v>3</v>
      </c>
      <c r="E8" s="6" t="n">
        <v>5</v>
      </c>
      <c r="F8" s="32" t="s">
        <v>32</v>
      </c>
      <c r="G8" s="6" t="str">
        <f aca="false">IF(C8+D8&gt;=14,"🔴 Expert",IF(C8+D8&gt;=10,"🟡 Intermediate","🟢 Beginner"))</f>
        <v>🟡 Intermediate</v>
      </c>
      <c r="H8" s="17" t="str">
        <f aca="false">IF(B8&gt;300,"🔴 High Risk",IF(B8&gt;150,"🟡 Moderate","🟢 Low Risk"))</f>
        <v>🟢 Low Risk</v>
      </c>
    </row>
    <row r="9" customFormat="false" ht="27.75" hidden="false" customHeight="true" outlineLevel="0" collapsed="false">
      <c r="A9" s="8" t="s">
        <v>35</v>
      </c>
      <c r="B9" s="9" t="n">
        <v>180</v>
      </c>
      <c r="C9" s="9" t="n">
        <v>3</v>
      </c>
      <c r="D9" s="9" t="n">
        <v>8</v>
      </c>
      <c r="E9" s="9" t="n">
        <v>8</v>
      </c>
      <c r="F9" s="33" t="s">
        <v>36</v>
      </c>
      <c r="G9" s="9" t="str">
        <f aca="false">IF(C9+D9&gt;=14,"🔴 Expert",IF(C9+D9&gt;=10,"🟡 Intermediate","🟢 Beginner"))</f>
        <v>🟡 Intermediate</v>
      </c>
      <c r="H9" s="9" t="str">
        <f aca="false">IF(B9&gt;300,"🔴 High Risk",IF(B9&gt;150,"🟡 Moderate","🟢 Low Risk"))</f>
        <v>🟡 Moderate</v>
      </c>
    </row>
    <row r="10" customFormat="false" ht="27.75" hidden="false" customHeight="true" outlineLevel="0" collapsed="false">
      <c r="A10" s="5" t="s">
        <v>39</v>
      </c>
      <c r="B10" s="6" t="n">
        <v>548</v>
      </c>
      <c r="C10" s="6" t="n">
        <v>4</v>
      </c>
      <c r="D10" s="6" t="n">
        <v>6</v>
      </c>
      <c r="E10" s="6" t="n">
        <v>8</v>
      </c>
      <c r="F10" s="32" t="s">
        <v>39</v>
      </c>
      <c r="G10" s="6" t="str">
        <f aca="false">IF(C10+D10&gt;=14,"🔴 Expert",IF(C10+D10&gt;=10,"🟡 Intermediate","🟢 Beginner"))</f>
        <v>🟡 Intermediate</v>
      </c>
      <c r="H10" s="17" t="str">
        <f aca="false">IF(B10&gt;300,"🔴 High Risk",IF(B10&gt;150,"🟡 Moderate","🟢 Low Risk"))</f>
        <v>🔴 High Risk</v>
      </c>
    </row>
    <row r="11" customFormat="false" ht="27.75" hidden="false" customHeight="true" outlineLevel="0" collapsed="false">
      <c r="A11" s="8" t="s">
        <v>43</v>
      </c>
      <c r="B11" s="9" t="n">
        <v>173</v>
      </c>
      <c r="C11" s="9" t="n">
        <v>8</v>
      </c>
      <c r="D11" s="9" t="n">
        <v>3</v>
      </c>
      <c r="E11" s="9" t="n">
        <v>4</v>
      </c>
      <c r="F11" s="33" t="s">
        <v>102</v>
      </c>
      <c r="G11" s="9" t="str">
        <f aca="false">IF(C11+D11&gt;=14,"🔴 Expert",IF(C11+D11&gt;=10,"🟡 Intermediate","🟢 Beginner"))</f>
        <v>🟡 Intermediate</v>
      </c>
      <c r="H11" s="9" t="str">
        <f aca="false">IF(B11&gt;300,"🔴 High Risk",IF(B11&gt;150,"🟡 Moderate","🟢 Low Risk"))</f>
        <v>🟡 Moderate</v>
      </c>
    </row>
    <row r="12" customFormat="false" ht="27.75" hidden="false" customHeight="true" outlineLevel="0" collapsed="false">
      <c r="A12" s="5" t="s">
        <v>47</v>
      </c>
      <c r="B12" s="6" t="n">
        <v>186</v>
      </c>
      <c r="C12" s="6" t="n">
        <v>4</v>
      </c>
      <c r="D12" s="6" t="n">
        <v>6</v>
      </c>
      <c r="E12" s="6" t="n">
        <v>8</v>
      </c>
      <c r="F12" s="32" t="s">
        <v>47</v>
      </c>
      <c r="G12" s="6" t="str">
        <f aca="false">IF(C12+D12&gt;=14,"🔴 Expert",IF(C12+D12&gt;=10,"🟡 Intermediate","🟢 Beginner"))</f>
        <v>🟡 Intermediate</v>
      </c>
      <c r="H12" s="17" t="str">
        <f aca="false">IF(B12&gt;300,"🔴 High Risk",IF(B12&gt;150,"🟡 Moderate","🟢 Low Risk"))</f>
        <v>🟡 Moderate</v>
      </c>
    </row>
    <row r="13" customFormat="false" ht="27.75" hidden="false" customHeight="true" outlineLevel="0" collapsed="false">
      <c r="A13" s="8" t="s">
        <v>50</v>
      </c>
      <c r="B13" s="9" t="n">
        <v>150</v>
      </c>
      <c r="C13" s="9" t="n">
        <v>5</v>
      </c>
      <c r="D13" s="9" t="n">
        <v>4</v>
      </c>
      <c r="E13" s="9" t="n">
        <v>5</v>
      </c>
      <c r="F13" s="33" t="s">
        <v>51</v>
      </c>
      <c r="G13" s="9" t="str">
        <f aca="false">IF(C13+D13&gt;=14,"🔴 Expert",IF(C13+D13&gt;=10,"🟡 Intermediate","🟢 Beginner"))</f>
        <v>🟢 Beginner</v>
      </c>
      <c r="H13" s="9" t="str">
        <f aca="false">IF(B13&gt;300,"🔴 High Risk",IF(B13&gt;150,"🟡 Moderate","🟢 Low Risk"))</f>
        <v>🟢 Low Risk</v>
      </c>
    </row>
    <row r="14" customFormat="false" ht="27.75" hidden="false" customHeight="true" outlineLevel="0" collapsed="false">
      <c r="A14" s="5" t="s">
        <v>54</v>
      </c>
      <c r="B14" s="6" t="n">
        <v>450</v>
      </c>
      <c r="C14" s="6" t="n">
        <v>3</v>
      </c>
      <c r="D14" s="6" t="n">
        <v>6</v>
      </c>
      <c r="E14" s="6" t="n">
        <v>7</v>
      </c>
      <c r="F14" s="32" t="s">
        <v>54</v>
      </c>
      <c r="G14" s="6" t="str">
        <f aca="false">IF(C14+D14&gt;=14,"🔴 Expert",IF(C14+D14&gt;=10,"🟡 Intermediate","🟢 Beginner"))</f>
        <v>🟢 Beginner</v>
      </c>
      <c r="H14" s="17" t="str">
        <f aca="false">IF(B14&gt;300,"🔴 High Risk",IF(B14&gt;150,"🟡 Moderate","🟢 Low Risk"))</f>
        <v>🔴 High Risk</v>
      </c>
    </row>
    <row r="15" customFormat="false" ht="27.75" hidden="false" customHeight="true" outlineLevel="0" collapsed="false">
      <c r="A15" s="8" t="s">
        <v>57</v>
      </c>
      <c r="B15" s="9" t="n">
        <v>75</v>
      </c>
      <c r="C15" s="9" t="n">
        <v>2</v>
      </c>
      <c r="D15" s="9" t="n">
        <v>2</v>
      </c>
      <c r="E15" s="9" t="n">
        <v>5</v>
      </c>
      <c r="F15" s="33" t="s">
        <v>58</v>
      </c>
      <c r="G15" s="9" t="str">
        <f aca="false">IF(C15+D15&gt;=14,"🔴 Expert",IF(C15+D15&gt;=10,"🟡 Intermediate","🟢 Beginner"))</f>
        <v>🟢 Beginner</v>
      </c>
      <c r="H15" s="9" t="str">
        <f aca="false">IF(B15&gt;300,"🔴 High Risk",IF(B15&gt;150,"🟡 Moderate","🟢 Low Risk"))</f>
        <v>🟢 Low Risk</v>
      </c>
    </row>
    <row r="16" customFormat="false" ht="27.75" hidden="false" customHeight="true" outlineLevel="0" collapsed="false">
      <c r="A16" s="5" t="s">
        <v>61</v>
      </c>
      <c r="B16" s="6" t="n">
        <v>560</v>
      </c>
      <c r="C16" s="6" t="n">
        <v>2</v>
      </c>
      <c r="D16" s="6" t="n">
        <v>2</v>
      </c>
      <c r="E16" s="6" t="n">
        <v>6</v>
      </c>
      <c r="F16" s="32" t="s">
        <v>103</v>
      </c>
      <c r="G16" s="6" t="str">
        <f aca="false">IF(C16+D16&gt;=14,"🔴 Expert",IF(C16+D16&gt;=10,"🟡 Intermediate","🟢 Beginner"))</f>
        <v>🟢 Beginner</v>
      </c>
      <c r="H16" s="17" t="str">
        <f aca="false">IF(B16&gt;300,"🔴 High Risk",IF(B16&gt;150,"🟡 Moderate","🟢 Low Risk"))</f>
        <v>🔴 High Risk</v>
      </c>
    </row>
  </sheetData>
  <mergeCells count="2">
    <mergeCell ref="A1:H1"/>
    <mergeCell ref="A2:H2"/>
  </mergeCells>
  <conditionalFormatting sqref="B4:B16">
    <cfRule type="colorScale" priority="2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C4:C16">
    <cfRule type="colorScale" priority="3">
      <colorScale>
        <cfvo type="min" val="0"/>
        <cfvo type="max" val="0"/>
        <color rgb="FFFFF2CC"/>
        <color rgb="FFC00000"/>
      </colorScale>
    </cfRule>
  </conditionalFormatting>
  <conditionalFormatting sqref="D4:D16">
    <cfRule type="dataBar" priority="4">
      <dataBar showValue="1" minLength="10" maxLength="90">
        <cfvo type="min" val="0"/>
        <cfvo type="max" val="0"/>
        <color rgb="FF7B4A2D"/>
      </dataBar>
      <extLst>
        <ext xmlns:x14="http://schemas.microsoft.com/office/spreadsheetml/2009/9/main" uri="{B025F937-C7B1-47D3-B67F-A62EFF666E3E}">
          <x14:id>{C23AD56B-E4B4-4FC3-8761-9948262F6B64}</x14:id>
        </ext>
      </extLst>
    </cfRule>
  </conditionalFormatting>
  <conditionalFormatting sqref="E4:E16">
    <cfRule type="dataBar" priority="5">
      <dataBar showValue="1" minLength="10" maxLength="90">
        <cfvo type="min" val="0"/>
        <cfvo type="max" val="0"/>
        <color rgb="FF4472C4"/>
      </dataBar>
      <extLst>
        <ext xmlns:x14="http://schemas.microsoft.com/office/spreadsheetml/2009/9/main" uri="{B025F937-C7B1-47D3-B67F-A62EFF666E3E}">
          <x14:id>{357AFCA4-E495-4F82-AC4A-151036983097}</x14:id>
        </ext>
      </extLst>
    </cfRule>
  </conditionalFormatting>
  <conditionalFormatting sqref="G4:G16">
    <cfRule type="expression" priority="6" aboveAverage="0" equalAverage="0" bottom="0" percent="0" rank="0" text="" dxfId="2">
      <formula>G4="🟢 Beginner"</formula>
    </cfRule>
    <cfRule type="expression" priority="7" aboveAverage="0" equalAverage="0" bottom="0" percent="0" rank="0" text="" dxfId="1">
      <formula>G4="🟡 Intermediate"</formula>
    </cfRule>
    <cfRule type="expression" priority="8" aboveAverage="0" equalAverage="0" bottom="0" percent="0" rank="0" text="" dxfId="0">
      <formula>G4="🔴 Expert"</formula>
    </cfRule>
  </conditionalFormatting>
  <conditionalFormatting sqref="H4:H16">
    <cfRule type="expression" priority="9" aboveAverage="0" equalAverage="0" bottom="0" percent="0" rank="0" text="" dxfId="6">
      <formula>H4="🟢 Low Risk"</formula>
    </cfRule>
    <cfRule type="expression" priority="10" aboveAverage="0" equalAverage="0" bottom="0" percent="0" rank="0" text="" dxfId="7">
      <formula>H4="🟡 Moderate"</formula>
    </cfRule>
    <cfRule type="expression" priority="11" aboveAverage="0" equalAverage="0" bottom="0" percent="0" rank="0" text="" dxfId="8">
      <formula>H4="🔴 High Risk"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3AD56B-E4B4-4FC3-8761-9948262F6B64}">
            <x14:dataBar minLength="10" maxLength="90" axisPosition="none" gradient="true">
              <x14:cfvo type="min"/>
              <x14:cfvo type="max"/>
              <x14:negativeFillColor rgb="FF7B4A2D"/>
              <x14:axisColor rgb="FF000000"/>
            </x14:dataBar>
          </x14:cfRule>
          <xm:sqref>D4:D16</xm:sqref>
        </x14:conditionalFormatting>
        <x14:conditionalFormatting xmlns:xm="http://schemas.microsoft.com/office/excel/2006/main">
          <x14:cfRule type="dataBar" id="{357AFCA4-E495-4F82-AC4A-151036983097}">
            <x14:dataBar minLength="10" maxLength="90" axisPosition="none" gradient="true">
              <x14:cfvo type="min"/>
              <x14:cfvo type="max"/>
              <x14:negativeFillColor rgb="FF4472C4"/>
              <x14:axisColor rgb="FF000000"/>
            </x14:dataBar>
          </x14:cfRule>
          <xm:sqref>E4:E16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5" min="4" style="1" width="14"/>
    <col collapsed="false" customWidth="true" hidden="false" outlineLevel="0" max="7" min="6" style="1" width="13"/>
  </cols>
  <sheetData>
    <row r="1" customFormat="false" ht="36" hidden="false" customHeight="true" outlineLevel="0" collapsed="false">
      <c r="A1" s="2" t="s">
        <v>104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105</v>
      </c>
      <c r="B2" s="3"/>
      <c r="C2" s="3"/>
      <c r="D2" s="3"/>
      <c r="E2" s="3"/>
      <c r="F2" s="3"/>
    </row>
    <row r="3" customFormat="false" ht="25.5" hidden="false" customHeight="true" outlineLevel="0" collapsed="false"/>
    <row r="4" customFormat="false" ht="25.5" hidden="false" customHeight="true" outlineLevel="0" collapsed="false">
      <c r="A4" s="34" t="s">
        <v>106</v>
      </c>
      <c r="B4" s="34"/>
      <c r="C4" s="34" t="s">
        <v>107</v>
      </c>
      <c r="D4" s="34"/>
      <c r="E4" s="34"/>
      <c r="F4" s="34"/>
    </row>
    <row r="5" customFormat="false" ht="25.5" hidden="false" customHeight="true" outlineLevel="0" collapsed="false">
      <c r="A5" s="12" t="s">
        <v>108</v>
      </c>
      <c r="B5" s="35" t="n">
        <v>10</v>
      </c>
      <c r="C5" s="36" t="s">
        <v>2</v>
      </c>
      <c r="D5" s="36" t="s">
        <v>109</v>
      </c>
      <c r="E5" s="36" t="s">
        <v>110</v>
      </c>
      <c r="F5" s="36" t="s">
        <v>111</v>
      </c>
      <c r="G5" s="36" t="s">
        <v>112</v>
      </c>
      <c r="H5" s="36" t="s">
        <v>113</v>
      </c>
    </row>
    <row r="6" customFormat="false" ht="25.5" hidden="false" customHeight="true" outlineLevel="0" collapsed="false">
      <c r="A6" s="12" t="s">
        <v>114</v>
      </c>
      <c r="B6" s="35" t="n">
        <v>300</v>
      </c>
      <c r="C6" s="6" t="str">
        <f aca="false">IF(AND(0.37&lt;=$B$5,127&lt;=$B$6,9&gt;=$B$7,8&lt;=$B$8,5&lt;=$B$9),"Ristretto","—")</f>
        <v>—</v>
      </c>
      <c r="D6" s="6" t="n">
        <v>0.37</v>
      </c>
      <c r="E6" s="6" t="n">
        <v>127</v>
      </c>
      <c r="F6" s="6" t="n">
        <v>9</v>
      </c>
      <c r="G6" s="6" t="n">
        <v>8</v>
      </c>
      <c r="H6" s="6" t="n">
        <v>5</v>
      </c>
    </row>
    <row r="7" customFormat="false" ht="25.5" hidden="false" customHeight="true" outlineLevel="0" collapsed="false">
      <c r="A7" s="12" t="s">
        <v>115</v>
      </c>
      <c r="B7" s="35" t="n">
        <v>5</v>
      </c>
      <c r="C7" s="9" t="str">
        <f aca="false">IF(AND(0.47&lt;=$B$5,124&lt;=$B$6,9&gt;=$B$7,7&lt;=$B$8,6&lt;=$B$9),"Espresso","—")</f>
        <v>Espresso</v>
      </c>
      <c r="D7" s="9" t="n">
        <v>0.47</v>
      </c>
      <c r="E7" s="9" t="n">
        <v>124</v>
      </c>
      <c r="F7" s="9" t="n">
        <v>9</v>
      </c>
      <c r="G7" s="9" t="n">
        <v>7</v>
      </c>
      <c r="H7" s="9" t="n">
        <v>6</v>
      </c>
    </row>
    <row r="8" customFormat="false" ht="25.5" hidden="false" customHeight="true" outlineLevel="0" collapsed="false">
      <c r="A8" s="12" t="s">
        <v>116</v>
      </c>
      <c r="B8" s="35" t="n">
        <v>7</v>
      </c>
      <c r="C8" s="6" t="str">
        <f aca="false">IF(AND(0.67&lt;=$B$5,186&lt;=$B$6,6&gt;=$B$7,8&lt;=$B$8,3&lt;=$B$9),"Lungo","—")</f>
        <v>—</v>
      </c>
      <c r="D8" s="6" t="n">
        <v>0.67</v>
      </c>
      <c r="E8" s="6" t="n">
        <v>186</v>
      </c>
      <c r="F8" s="6" t="n">
        <v>6</v>
      </c>
      <c r="G8" s="6" t="n">
        <v>8</v>
      </c>
      <c r="H8" s="6" t="n">
        <v>3</v>
      </c>
    </row>
    <row r="9" customFormat="false" ht="25.5" hidden="false" customHeight="true" outlineLevel="0" collapsed="false">
      <c r="A9" s="12" t="s">
        <v>117</v>
      </c>
      <c r="B9" s="35" t="n">
        <v>7</v>
      </c>
      <c r="C9" s="9" t="str">
        <f aca="false">IF(AND(1.5&lt;=$B$5,60&lt;=$B$6,5&gt;=$B$7,4&lt;=$B$8,5&lt;=$B$9),"AeroPress","—")</f>
        <v>AeroPress</v>
      </c>
      <c r="D9" s="9" t="n">
        <v>1.5</v>
      </c>
      <c r="E9" s="9" t="n">
        <v>60</v>
      </c>
      <c r="F9" s="9" t="n">
        <v>5</v>
      </c>
      <c r="G9" s="9" t="n">
        <v>4</v>
      </c>
      <c r="H9" s="9" t="n">
        <v>5</v>
      </c>
    </row>
    <row r="10" customFormat="false" ht="25.5" hidden="false" customHeight="true" outlineLevel="0" collapsed="false">
      <c r="C10" s="6" t="str">
        <f aca="false">IF(AND(3.5&lt;=$B$5,150&lt;=$B$6,5&gt;=$B$7,3&lt;=$B$8,7&lt;=$B$9),"Siphon","—")</f>
        <v>Siphon</v>
      </c>
      <c r="D10" s="6" t="n">
        <v>3.5</v>
      </c>
      <c r="E10" s="6" t="n">
        <v>150</v>
      </c>
      <c r="F10" s="6" t="n">
        <v>5</v>
      </c>
      <c r="G10" s="6" t="n">
        <v>3</v>
      </c>
      <c r="H10" s="6" t="n">
        <v>7</v>
      </c>
    </row>
    <row r="11" customFormat="false" ht="25.5" hidden="false" customHeight="true" outlineLevel="0" collapsed="false">
      <c r="A11" s="37" t="s">
        <v>118</v>
      </c>
      <c r="B11" s="37"/>
      <c r="C11" s="9" t="str">
        <f aca="false">IF(AND(3.5&lt;=$B$5,180&lt;=$B$6,8&gt;=$B$7,8&lt;=$B$8,3&lt;=$B$9),"Turkish","—")</f>
        <v>—</v>
      </c>
      <c r="D11" s="9" t="n">
        <v>3.5</v>
      </c>
      <c r="E11" s="9" t="n">
        <v>180</v>
      </c>
      <c r="F11" s="9" t="n">
        <v>8</v>
      </c>
      <c r="G11" s="9" t="n">
        <v>8</v>
      </c>
      <c r="H11" s="9" t="n">
        <v>3</v>
      </c>
    </row>
    <row r="12" customFormat="false" ht="25.5" hidden="false" customHeight="true" outlineLevel="0" collapsed="false">
      <c r="A12" s="38" t="s">
        <v>119</v>
      </c>
      <c r="B12" s="38"/>
      <c r="C12" s="6" t="str">
        <f aca="false">IF(AND(4&lt;=$B$5,548&lt;=$B$6,8&gt;=$B$7,6&lt;=$B$8,4&lt;=$B$9),"Moka Pot","—")</f>
        <v>—</v>
      </c>
      <c r="D12" s="6" t="n">
        <v>4</v>
      </c>
      <c r="E12" s="6" t="n">
        <v>548</v>
      </c>
      <c r="F12" s="6" t="n">
        <v>8</v>
      </c>
      <c r="G12" s="6" t="n">
        <v>6</v>
      </c>
      <c r="H12" s="6" t="n">
        <v>4</v>
      </c>
    </row>
    <row r="13" customFormat="false" ht="25.5" hidden="false" customHeight="true" outlineLevel="0" collapsed="false">
      <c r="A13" s="39" t="s">
        <v>120</v>
      </c>
      <c r="B13" s="39"/>
      <c r="C13" s="9" t="str">
        <f aca="false">IF(AND(4.5&lt;=$B$5,173&lt;=$B$6,4&gt;=$B$7,3&lt;=$B$8,8&lt;=$B$9),"Pour Over","—")</f>
        <v>—</v>
      </c>
      <c r="D13" s="9" t="n">
        <v>4.5</v>
      </c>
      <c r="E13" s="9" t="n">
        <v>173</v>
      </c>
      <c r="F13" s="9" t="n">
        <v>4</v>
      </c>
      <c r="G13" s="9" t="n">
        <v>3</v>
      </c>
      <c r="H13" s="9" t="n">
        <v>8</v>
      </c>
    </row>
    <row r="14" customFormat="false" ht="25.5" hidden="false" customHeight="true" outlineLevel="0" collapsed="false">
      <c r="A14" s="38" t="s">
        <v>121</v>
      </c>
      <c r="B14" s="38"/>
      <c r="C14" s="6" t="str">
        <f aca="false">IF(AND(4.5&lt;=$B$5,186&lt;=$B$6,8&gt;=$B$7,6&lt;=$B$8,4&lt;=$B$9),"French Press","—")</f>
        <v>French Press</v>
      </c>
      <c r="D14" s="6" t="n">
        <v>4.5</v>
      </c>
      <c r="E14" s="6" t="n">
        <v>186</v>
      </c>
      <c r="F14" s="6" t="n">
        <v>8</v>
      </c>
      <c r="G14" s="6" t="n">
        <v>6</v>
      </c>
      <c r="H14" s="6" t="n">
        <v>4</v>
      </c>
    </row>
    <row r="15" customFormat="false" ht="25.5" hidden="false" customHeight="true" outlineLevel="0" collapsed="false">
      <c r="A15" s="39" t="s">
        <v>122</v>
      </c>
      <c r="B15" s="39"/>
      <c r="C15" s="9" t="str">
        <f aca="false">IF(AND(5&lt;=$B$5,150&lt;=$B$6,5&gt;=$B$7,4&lt;=$B$8,5&lt;=$B$9),"Batch Brew","—")</f>
        <v>Batch Brew</v>
      </c>
      <c r="D15" s="9" t="n">
        <v>5</v>
      </c>
      <c r="E15" s="9" t="n">
        <v>150</v>
      </c>
      <c r="F15" s="9" t="n">
        <v>5</v>
      </c>
      <c r="G15" s="9" t="n">
        <v>4</v>
      </c>
      <c r="H15" s="9" t="n">
        <v>5</v>
      </c>
    </row>
    <row r="16" customFormat="false" ht="25.5" hidden="false" customHeight="true" outlineLevel="0" collapsed="false">
      <c r="A16" s="38" t="s">
        <v>123</v>
      </c>
      <c r="B16" s="38"/>
      <c r="C16" s="6" t="str">
        <f aca="false">IF(AND(6.5&lt;=$B$5,450&lt;=$B$6,7&gt;=$B$7,6&lt;=$B$8,3&lt;=$B$9),"Viet. Phin","—")</f>
        <v>—</v>
      </c>
      <c r="D16" s="6" t="n">
        <v>6.5</v>
      </c>
      <c r="E16" s="6" t="n">
        <v>450</v>
      </c>
      <c r="F16" s="6" t="n">
        <v>7</v>
      </c>
      <c r="G16" s="6" t="n">
        <v>6</v>
      </c>
      <c r="H16" s="6" t="n">
        <v>3</v>
      </c>
    </row>
    <row r="17" customFormat="false" ht="25.5" hidden="false" customHeight="true" outlineLevel="0" collapsed="false">
      <c r="C17" s="9" t="str">
        <f aca="false">IF(AND(480&lt;=$B$5,75&lt;=$B$6,5&gt;=$B$7,2&lt;=$B$8,2&lt;=$B$9),"Cold Drip","—")</f>
        <v>—</v>
      </c>
      <c r="D17" s="9" t="n">
        <v>480</v>
      </c>
      <c r="E17" s="9" t="n">
        <v>75</v>
      </c>
      <c r="F17" s="9" t="n">
        <v>5</v>
      </c>
      <c r="G17" s="9" t="n">
        <v>2</v>
      </c>
      <c r="H17" s="9" t="n">
        <v>2</v>
      </c>
    </row>
    <row r="18" customFormat="false" ht="25.5" hidden="false" customHeight="true" outlineLevel="0" collapsed="false">
      <c r="C18" s="6" t="str">
        <f aca="false">IF(AND(1080&lt;=$B$5,560&lt;=$B$6,6&gt;=$B$7,2&lt;=$B$8,2&lt;=$B$9),"Cold Brew","—")</f>
        <v>—</v>
      </c>
      <c r="D18" s="6" t="n">
        <v>1080</v>
      </c>
      <c r="E18" s="6" t="n">
        <v>560</v>
      </c>
      <c r="F18" s="6" t="n">
        <v>6</v>
      </c>
      <c r="G18" s="6" t="n">
        <v>2</v>
      </c>
      <c r="H18" s="6" t="n">
        <v>2</v>
      </c>
    </row>
    <row r="19" customFormat="false" ht="25.5" hidden="false" customHeight="true" outlineLevel="0" collapsed="false"/>
  </sheetData>
  <mergeCells count="10">
    <mergeCell ref="A1:F1"/>
    <mergeCell ref="A2:F2"/>
    <mergeCell ref="A4:B4"/>
    <mergeCell ref="C4:F4"/>
    <mergeCell ref="A11:B11"/>
    <mergeCell ref="A12:B12"/>
    <mergeCell ref="A13:B13"/>
    <mergeCell ref="A14:B14"/>
    <mergeCell ref="A15:B15"/>
    <mergeCell ref="A16:B16"/>
  </mergeCells>
  <conditionalFormatting sqref="C6:C18">
    <cfRule type="expression" priority="2" aboveAverage="0" equalAverage="0" bottom="0" percent="0" rank="0" text="" dxfId="2">
      <formula>C6&lt;&gt;"—"</formula>
    </cfRule>
    <cfRule type="expression" priority="3" aboveAverage="0" equalAverage="0" bottom="0" percent="0" rank="0" text="" dxfId="9">
      <formula>C6="—"</formula>
    </cfRule>
  </conditionalFormatting>
  <conditionalFormatting sqref="E6:E18">
    <cfRule type="colorScale" priority="4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F6:F18">
    <cfRule type="dataBar" priority="5">
      <dataBar showValue="1" minLength="10" maxLength="90">
        <cfvo type="min" val="0"/>
        <cfvo type="max" val="0"/>
        <color rgb="FF7B4A2D"/>
      </dataBar>
      <extLst>
        <ext xmlns:x14="http://schemas.microsoft.com/office/spreadsheetml/2009/9/main" uri="{B025F937-C7B1-47D3-B67F-A62EFF666E3E}">
          <x14:id>{5E1770D5-2CEC-4842-97FA-ADBA10A8DA89}</x14:id>
        </ext>
      </extLst>
    </cfRule>
  </conditionalFormatting>
  <conditionalFormatting sqref="G6:G18">
    <cfRule type="dataBar" priority="6">
      <dataBar showValue="1" minLength="10" maxLength="90">
        <cfvo type="min" val="0"/>
        <cfvo type="max" val="0"/>
        <color rgb="FF4472C4"/>
      </dataBar>
      <extLst>
        <ext xmlns:x14="http://schemas.microsoft.com/office/spreadsheetml/2009/9/main" uri="{B025F937-C7B1-47D3-B67F-A62EFF666E3E}">
          <x14:id>{825069C0-D566-4E3F-9C10-5A31AAF35091}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1770D5-2CEC-4842-97FA-ADBA10A8DA89}">
            <x14:dataBar minLength="10" maxLength="90" axisPosition="none" gradient="true">
              <x14:cfvo type="min"/>
              <x14:cfvo type="max"/>
              <x14:negativeFillColor rgb="FF7B4A2D"/>
              <x14:axisColor rgb="FF000000"/>
            </x14:dataBar>
          </x14:cfRule>
          <xm:sqref>F6:F18</xm:sqref>
        </x14:conditionalFormatting>
        <x14:conditionalFormatting xmlns:xm="http://schemas.microsoft.com/office/excel/2006/main">
          <x14:cfRule type="dataBar" id="{825069C0-D566-4E3F-9C10-5A31AAF35091}">
            <x14:dataBar minLength="10" maxLength="90" axisPosition="none" gradient="true">
              <x14:cfvo type="min"/>
              <x14:cfvo type="max"/>
              <x14:negativeFillColor rgb="FF4472C4"/>
              <x14:axisColor rgb="FF000000"/>
            </x14:dataBar>
          </x14:cfRule>
          <xm:sqref>G6:G18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2026-05-19T04:00:51Z</dcterms:created>
  <dc:creator>openpyxl</dc:creator>
  <dc:description/>
  <dc:language>en-US</dc:language>
  <cp:lastModifiedBy/>
  <dcterms:modified xsi:type="dcterms:W3CDTF">2026-05-26T03:05:29Z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